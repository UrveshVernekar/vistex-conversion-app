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"/>
    </mc:Choice>
  </mc:AlternateContent>
  <xr:revisionPtr revIDLastSave="0" documentId="13_ncr:1_{578FD2C6-520A-415B-BBB7-A2DB3ACD6B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 Schem Code Tool" sheetId="5" r:id="rId1"/>
    <sheet name="Sub Agreement Code Tool" sheetId="1" r:id="rId2"/>
    <sheet name="Codebook" sheetId="3" r:id="rId3"/>
    <sheet name="Instructions" sheetId="4" r:id="rId4"/>
  </sheets>
  <definedNames>
    <definedName name="FinancialYears">Codebook!$J$2:$J$19</definedName>
    <definedName name="Months">Codebook!$H$2:$H$13</definedName>
    <definedName name="PeriodTypes">Codebook!$A$2:$A$6</definedName>
    <definedName name="SchemeBases">Codebook!$E$2:$E$3</definedName>
    <definedName name="SchemeTypes">Codebook!$C$2:$C$9</definedName>
    <definedName name="Sequences">Codebook!$G$2:$G$35</definedName>
    <definedName name="StandardPeriods">Codebook!$B$2:$B$20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P107" i="1"/>
  <c r="M107" i="1"/>
  <c r="L107" i="1"/>
  <c r="K107" i="1"/>
  <c r="P106" i="1"/>
  <c r="M106" i="1"/>
  <c r="L106" i="1"/>
  <c r="K106" i="1"/>
  <c r="P105" i="1"/>
  <c r="M105" i="1"/>
  <c r="L105" i="1"/>
  <c r="K105" i="1"/>
  <c r="P104" i="1"/>
  <c r="M104" i="1"/>
  <c r="L104" i="1"/>
  <c r="K104" i="1"/>
  <c r="P103" i="1"/>
  <c r="M103" i="1"/>
  <c r="L103" i="1"/>
  <c r="K103" i="1"/>
  <c r="P102" i="1"/>
  <c r="M102" i="1"/>
  <c r="L102" i="1"/>
  <c r="K102" i="1"/>
  <c r="P101" i="1"/>
  <c r="M101" i="1"/>
  <c r="L101" i="1"/>
  <c r="K101" i="1"/>
  <c r="P100" i="1"/>
  <c r="M100" i="1"/>
  <c r="L100" i="1"/>
  <c r="K100" i="1"/>
  <c r="P99" i="1"/>
  <c r="M99" i="1"/>
  <c r="L99" i="1"/>
  <c r="K99" i="1"/>
  <c r="P98" i="1"/>
  <c r="M98" i="1"/>
  <c r="L98" i="1"/>
  <c r="K98" i="1"/>
  <c r="P97" i="1"/>
  <c r="M97" i="1"/>
  <c r="L97" i="1"/>
  <c r="K97" i="1"/>
  <c r="P96" i="1"/>
  <c r="M96" i="1"/>
  <c r="L96" i="1"/>
  <c r="K96" i="1"/>
  <c r="P95" i="1"/>
  <c r="M95" i="1"/>
  <c r="L95" i="1"/>
  <c r="K95" i="1"/>
  <c r="P94" i="1"/>
  <c r="M94" i="1"/>
  <c r="L94" i="1"/>
  <c r="K94" i="1"/>
  <c r="P93" i="1"/>
  <c r="M93" i="1"/>
  <c r="L93" i="1"/>
  <c r="K93" i="1"/>
  <c r="P92" i="1"/>
  <c r="M92" i="1"/>
  <c r="L92" i="1"/>
  <c r="K92" i="1"/>
  <c r="P91" i="1"/>
  <c r="M91" i="1"/>
  <c r="L91" i="1"/>
  <c r="K91" i="1"/>
  <c r="P90" i="1"/>
  <c r="M90" i="1"/>
  <c r="L90" i="1"/>
  <c r="K90" i="1"/>
  <c r="P89" i="1"/>
  <c r="M89" i="1"/>
  <c r="L89" i="1"/>
  <c r="K89" i="1"/>
  <c r="P88" i="1"/>
  <c r="M88" i="1"/>
  <c r="L88" i="1"/>
  <c r="K88" i="1"/>
  <c r="P87" i="1"/>
  <c r="M87" i="1"/>
  <c r="L87" i="1"/>
  <c r="K87" i="1"/>
  <c r="P86" i="1"/>
  <c r="M86" i="1"/>
  <c r="L86" i="1"/>
  <c r="K86" i="1"/>
  <c r="P85" i="1"/>
  <c r="M85" i="1"/>
  <c r="L85" i="1"/>
  <c r="K85" i="1"/>
  <c r="P84" i="1"/>
  <c r="M84" i="1"/>
  <c r="L84" i="1"/>
  <c r="K84" i="1"/>
  <c r="P83" i="1"/>
  <c r="M83" i="1"/>
  <c r="L83" i="1"/>
  <c r="K83" i="1"/>
  <c r="P82" i="1"/>
  <c r="M82" i="1"/>
  <c r="L82" i="1"/>
  <c r="K82" i="1"/>
  <c r="P81" i="1"/>
  <c r="M81" i="1"/>
  <c r="L81" i="1"/>
  <c r="K81" i="1"/>
  <c r="P80" i="1"/>
  <c r="M80" i="1"/>
  <c r="L80" i="1"/>
  <c r="K80" i="1"/>
  <c r="P79" i="1"/>
  <c r="M79" i="1"/>
  <c r="L79" i="1"/>
  <c r="K79" i="1"/>
  <c r="P78" i="1"/>
  <c r="M78" i="1"/>
  <c r="L78" i="1"/>
  <c r="K78" i="1"/>
  <c r="P77" i="1"/>
  <c r="M77" i="1"/>
  <c r="L77" i="1"/>
  <c r="K77" i="1"/>
  <c r="P76" i="1"/>
  <c r="M76" i="1"/>
  <c r="L76" i="1"/>
  <c r="K76" i="1"/>
  <c r="P75" i="1"/>
  <c r="M75" i="1"/>
  <c r="L75" i="1"/>
  <c r="K75" i="1"/>
  <c r="P74" i="1"/>
  <c r="M74" i="1"/>
  <c r="L74" i="1"/>
  <c r="K74" i="1"/>
  <c r="P73" i="1"/>
  <c r="M73" i="1"/>
  <c r="L73" i="1"/>
  <c r="K73" i="1"/>
  <c r="P72" i="1"/>
  <c r="M72" i="1"/>
  <c r="L72" i="1"/>
  <c r="K72" i="1"/>
  <c r="P71" i="1"/>
  <c r="M71" i="1"/>
  <c r="L71" i="1"/>
  <c r="K71" i="1"/>
  <c r="P70" i="1"/>
  <c r="M70" i="1"/>
  <c r="L70" i="1"/>
  <c r="K70" i="1"/>
  <c r="P69" i="1"/>
  <c r="M69" i="1"/>
  <c r="L69" i="1"/>
  <c r="K69" i="1"/>
  <c r="P68" i="1"/>
  <c r="M68" i="1"/>
  <c r="L68" i="1"/>
  <c r="K68" i="1"/>
  <c r="P67" i="1"/>
  <c r="M67" i="1"/>
  <c r="L67" i="1"/>
  <c r="K67" i="1"/>
  <c r="P66" i="1"/>
  <c r="M66" i="1"/>
  <c r="L66" i="1"/>
  <c r="K66" i="1"/>
  <c r="P65" i="1"/>
  <c r="M65" i="1"/>
  <c r="L65" i="1"/>
  <c r="K65" i="1"/>
  <c r="P64" i="1"/>
  <c r="M64" i="1"/>
  <c r="L64" i="1"/>
  <c r="K64" i="1"/>
  <c r="P63" i="1"/>
  <c r="M63" i="1"/>
  <c r="L63" i="1"/>
  <c r="K63" i="1"/>
  <c r="P62" i="1"/>
  <c r="M62" i="1"/>
  <c r="L62" i="1"/>
  <c r="K62" i="1"/>
  <c r="P61" i="1"/>
  <c r="M61" i="1"/>
  <c r="L61" i="1"/>
  <c r="K61" i="1"/>
  <c r="P60" i="1"/>
  <c r="M60" i="1"/>
  <c r="L60" i="1"/>
  <c r="K60" i="1"/>
  <c r="P59" i="1"/>
  <c r="M59" i="1"/>
  <c r="L59" i="1"/>
  <c r="K59" i="1"/>
  <c r="P58" i="1"/>
  <c r="M58" i="1"/>
  <c r="L58" i="1"/>
  <c r="K58" i="1"/>
  <c r="P57" i="1"/>
  <c r="M57" i="1"/>
  <c r="L57" i="1"/>
  <c r="K57" i="1"/>
  <c r="P56" i="1"/>
  <c r="M56" i="1"/>
  <c r="L56" i="1"/>
  <c r="K56" i="1"/>
  <c r="P55" i="1"/>
  <c r="M55" i="1"/>
  <c r="L55" i="1"/>
  <c r="K55" i="1"/>
  <c r="P54" i="1"/>
  <c r="M54" i="1"/>
  <c r="L54" i="1"/>
  <c r="K54" i="1"/>
  <c r="P53" i="1"/>
  <c r="M53" i="1"/>
  <c r="L53" i="1"/>
  <c r="K53" i="1"/>
  <c r="P52" i="1"/>
  <c r="M52" i="1"/>
  <c r="L52" i="1"/>
  <c r="K52" i="1"/>
  <c r="P51" i="1"/>
  <c r="M51" i="1"/>
  <c r="L51" i="1"/>
  <c r="K51" i="1"/>
  <c r="P50" i="1"/>
  <c r="M50" i="1"/>
  <c r="L50" i="1"/>
  <c r="K50" i="1"/>
  <c r="P49" i="1"/>
  <c r="M49" i="1"/>
  <c r="L49" i="1"/>
  <c r="K49" i="1"/>
  <c r="P48" i="1"/>
  <c r="M48" i="1"/>
  <c r="L48" i="1"/>
  <c r="K48" i="1"/>
  <c r="P47" i="1"/>
  <c r="M47" i="1"/>
  <c r="L47" i="1"/>
  <c r="K47" i="1"/>
  <c r="P46" i="1"/>
  <c r="M46" i="1"/>
  <c r="L46" i="1"/>
  <c r="K46" i="1"/>
  <c r="P45" i="1"/>
  <c r="M45" i="1"/>
  <c r="L45" i="1"/>
  <c r="K45" i="1"/>
  <c r="P44" i="1"/>
  <c r="M44" i="1"/>
  <c r="L44" i="1"/>
  <c r="K44" i="1"/>
  <c r="P43" i="1"/>
  <c r="M43" i="1"/>
  <c r="L43" i="1"/>
  <c r="K43" i="1"/>
  <c r="P42" i="1"/>
  <c r="M42" i="1"/>
  <c r="L42" i="1"/>
  <c r="K42" i="1"/>
  <c r="P41" i="1"/>
  <c r="M41" i="1"/>
  <c r="L41" i="1"/>
  <c r="K41" i="1"/>
  <c r="P40" i="1"/>
  <c r="M40" i="1"/>
  <c r="L40" i="1"/>
  <c r="K40" i="1"/>
  <c r="P39" i="1"/>
  <c r="M39" i="1"/>
  <c r="L39" i="1"/>
  <c r="K39" i="1"/>
  <c r="P38" i="1"/>
  <c r="M38" i="1"/>
  <c r="L38" i="1"/>
  <c r="K38" i="1"/>
  <c r="P37" i="1"/>
  <c r="M37" i="1"/>
  <c r="L37" i="1"/>
  <c r="K37" i="1"/>
  <c r="P36" i="1"/>
  <c r="M36" i="1"/>
  <c r="L36" i="1"/>
  <c r="K36" i="1"/>
  <c r="P35" i="1"/>
  <c r="M35" i="1"/>
  <c r="L35" i="1"/>
  <c r="K35" i="1"/>
  <c r="P34" i="1"/>
  <c r="M34" i="1"/>
  <c r="L34" i="1"/>
  <c r="K34" i="1"/>
  <c r="P33" i="1"/>
  <c r="M33" i="1"/>
  <c r="L33" i="1"/>
  <c r="K33" i="1"/>
  <c r="P32" i="1"/>
  <c r="M32" i="1"/>
  <c r="L32" i="1"/>
  <c r="K32" i="1"/>
  <c r="P31" i="1"/>
  <c r="M31" i="1"/>
  <c r="L31" i="1"/>
  <c r="K31" i="1"/>
  <c r="P30" i="1"/>
  <c r="M30" i="1"/>
  <c r="L30" i="1"/>
  <c r="K30" i="1"/>
  <c r="P29" i="1"/>
  <c r="M29" i="1"/>
  <c r="L29" i="1"/>
  <c r="K29" i="1"/>
  <c r="P28" i="1"/>
  <c r="M28" i="1"/>
  <c r="L28" i="1"/>
  <c r="K28" i="1"/>
  <c r="P27" i="1"/>
  <c r="M27" i="1"/>
  <c r="L27" i="1"/>
  <c r="K27" i="1"/>
  <c r="P26" i="1"/>
  <c r="M26" i="1"/>
  <c r="L26" i="1"/>
  <c r="K26" i="1"/>
  <c r="P25" i="1"/>
  <c r="M25" i="1"/>
  <c r="L25" i="1"/>
  <c r="K25" i="1"/>
  <c r="P24" i="1"/>
  <c r="M24" i="1"/>
  <c r="L24" i="1"/>
  <c r="K24" i="1"/>
  <c r="P23" i="1"/>
  <c r="M23" i="1"/>
  <c r="L23" i="1"/>
  <c r="K23" i="1"/>
  <c r="P22" i="1"/>
  <c r="M22" i="1"/>
  <c r="L22" i="1"/>
  <c r="K22" i="1"/>
  <c r="P21" i="1"/>
  <c r="M21" i="1"/>
  <c r="L21" i="1"/>
  <c r="K21" i="1"/>
  <c r="P20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N10" i="1" l="1"/>
  <c r="O10" i="1" s="1"/>
  <c r="P10" i="1" s="1"/>
  <c r="N18" i="1"/>
  <c r="O18" i="1" s="1"/>
  <c r="P18" i="1" s="1"/>
  <c r="N57" i="1"/>
  <c r="O57" i="1" s="1"/>
  <c r="N69" i="1"/>
  <c r="O69" i="1" s="1"/>
  <c r="N65" i="1"/>
  <c r="O65" i="1" s="1"/>
  <c r="N61" i="1"/>
  <c r="O61" i="1" s="1"/>
  <c r="N53" i="1"/>
  <c r="O53" i="1" s="1"/>
  <c r="N49" i="1"/>
  <c r="O49" i="1" s="1"/>
  <c r="N45" i="1"/>
  <c r="O45" i="1" s="1"/>
  <c r="N41" i="1"/>
  <c r="O41" i="1" s="1"/>
  <c r="N37" i="1"/>
  <c r="O37" i="1" s="1"/>
  <c r="N33" i="1"/>
  <c r="O33" i="1" s="1"/>
  <c r="N29" i="1"/>
  <c r="O29" i="1" s="1"/>
  <c r="N25" i="1"/>
  <c r="O25" i="1" s="1"/>
  <c r="N21" i="1"/>
  <c r="O21" i="1" s="1"/>
  <c r="N73" i="1"/>
  <c r="O73" i="1" s="1"/>
  <c r="N15" i="1"/>
  <c r="O15" i="1" s="1"/>
  <c r="P15" i="1" s="1"/>
  <c r="N14" i="1"/>
  <c r="O14" i="1" s="1"/>
  <c r="P14" i="1" s="1"/>
  <c r="N19" i="1"/>
  <c r="O19" i="1" s="1"/>
  <c r="P19" i="1" s="1"/>
  <c r="N77" i="1"/>
  <c r="O77" i="1" s="1"/>
  <c r="N81" i="1"/>
  <c r="O81" i="1" s="1"/>
  <c r="N85" i="1"/>
  <c r="O85" i="1" s="1"/>
  <c r="N89" i="1"/>
  <c r="O89" i="1" s="1"/>
  <c r="N93" i="1"/>
  <c r="O93" i="1" s="1"/>
  <c r="N97" i="1"/>
  <c r="O97" i="1" s="1"/>
  <c r="N101" i="1"/>
  <c r="O101" i="1" s="1"/>
  <c r="N105" i="1"/>
  <c r="O105" i="1" s="1"/>
  <c r="N7" i="1"/>
  <c r="O7" i="1" s="1"/>
  <c r="P7" i="1" s="1"/>
  <c r="N9" i="1"/>
  <c r="O9" i="1" s="1"/>
  <c r="P9" i="1" s="1"/>
  <c r="N17" i="1"/>
  <c r="O17" i="1" s="1"/>
  <c r="P17" i="1" s="1"/>
  <c r="N20" i="1"/>
  <c r="O20" i="1" s="1"/>
  <c r="N22" i="1"/>
  <c r="O22" i="1" s="1"/>
  <c r="N24" i="1"/>
  <c r="O24" i="1" s="1"/>
  <c r="N26" i="1"/>
  <c r="O26" i="1" s="1"/>
  <c r="N28" i="1"/>
  <c r="O28" i="1" s="1"/>
  <c r="N30" i="1"/>
  <c r="O30" i="1" s="1"/>
  <c r="N32" i="1"/>
  <c r="O32" i="1" s="1"/>
  <c r="N34" i="1"/>
  <c r="O34" i="1" s="1"/>
  <c r="N36" i="1"/>
  <c r="O36" i="1" s="1"/>
  <c r="N38" i="1"/>
  <c r="O38" i="1" s="1"/>
  <c r="N40" i="1"/>
  <c r="O40" i="1" s="1"/>
  <c r="N42" i="1"/>
  <c r="O42" i="1" s="1"/>
  <c r="N44" i="1"/>
  <c r="O44" i="1" s="1"/>
  <c r="N46" i="1"/>
  <c r="O46" i="1" s="1"/>
  <c r="N48" i="1"/>
  <c r="O48" i="1" s="1"/>
  <c r="N50" i="1"/>
  <c r="O50" i="1" s="1"/>
  <c r="N52" i="1"/>
  <c r="O52" i="1" s="1"/>
  <c r="N54" i="1"/>
  <c r="O54" i="1" s="1"/>
  <c r="N56" i="1"/>
  <c r="O56" i="1" s="1"/>
  <c r="N58" i="1"/>
  <c r="O58" i="1" s="1"/>
  <c r="N60" i="1"/>
  <c r="O60" i="1" s="1"/>
  <c r="N62" i="1"/>
  <c r="O62" i="1" s="1"/>
  <c r="N64" i="1"/>
  <c r="O64" i="1" s="1"/>
  <c r="N66" i="1"/>
  <c r="O66" i="1" s="1"/>
  <c r="N68" i="1"/>
  <c r="O68" i="1" s="1"/>
  <c r="N70" i="1"/>
  <c r="O70" i="1" s="1"/>
  <c r="N72" i="1"/>
  <c r="O72" i="1" s="1"/>
  <c r="N74" i="1"/>
  <c r="O74" i="1" s="1"/>
  <c r="N76" i="1"/>
  <c r="O76" i="1" s="1"/>
  <c r="N78" i="1"/>
  <c r="O78" i="1" s="1"/>
  <c r="N80" i="1"/>
  <c r="O80" i="1" s="1"/>
  <c r="N82" i="1"/>
  <c r="O82" i="1" s="1"/>
  <c r="N84" i="1"/>
  <c r="O84" i="1" s="1"/>
  <c r="N86" i="1"/>
  <c r="O86" i="1" s="1"/>
  <c r="N88" i="1"/>
  <c r="O88" i="1" s="1"/>
  <c r="N90" i="1"/>
  <c r="O90" i="1" s="1"/>
  <c r="N92" i="1"/>
  <c r="O92" i="1" s="1"/>
  <c r="N94" i="1"/>
  <c r="O94" i="1" s="1"/>
  <c r="N96" i="1"/>
  <c r="O96" i="1" s="1"/>
  <c r="N98" i="1"/>
  <c r="O98" i="1" s="1"/>
  <c r="N100" i="1"/>
  <c r="O100" i="1" s="1"/>
  <c r="N102" i="1"/>
  <c r="O102" i="1" s="1"/>
  <c r="N104" i="1"/>
  <c r="O104" i="1" s="1"/>
  <c r="N106" i="1"/>
  <c r="O106" i="1" s="1"/>
  <c r="N8" i="1"/>
  <c r="O8" i="1" s="1"/>
  <c r="P8" i="1" s="1"/>
  <c r="N16" i="1"/>
  <c r="O16" i="1" s="1"/>
  <c r="P16" i="1" s="1"/>
  <c r="N11" i="1"/>
  <c r="O11" i="1" s="1"/>
  <c r="P11" i="1" s="1"/>
  <c r="N13" i="1"/>
  <c r="O13" i="1" s="1"/>
  <c r="P13" i="1" s="1"/>
  <c r="N23" i="1"/>
  <c r="O23" i="1" s="1"/>
  <c r="N27" i="1"/>
  <c r="O27" i="1" s="1"/>
  <c r="N31" i="1"/>
  <c r="O31" i="1" s="1"/>
  <c r="N35" i="1"/>
  <c r="O35" i="1" s="1"/>
  <c r="N39" i="1"/>
  <c r="O39" i="1" s="1"/>
  <c r="N43" i="1"/>
  <c r="O43" i="1" s="1"/>
  <c r="N47" i="1"/>
  <c r="O47" i="1" s="1"/>
  <c r="N51" i="1"/>
  <c r="O51" i="1" s="1"/>
  <c r="N55" i="1"/>
  <c r="O55" i="1" s="1"/>
  <c r="N59" i="1"/>
  <c r="O59" i="1" s="1"/>
  <c r="N63" i="1"/>
  <c r="O63" i="1" s="1"/>
  <c r="N67" i="1"/>
  <c r="O67" i="1" s="1"/>
  <c r="N71" i="1"/>
  <c r="O71" i="1" s="1"/>
  <c r="N75" i="1"/>
  <c r="O75" i="1" s="1"/>
  <c r="N79" i="1"/>
  <c r="O79" i="1" s="1"/>
  <c r="N83" i="1"/>
  <c r="O83" i="1" s="1"/>
  <c r="N87" i="1"/>
  <c r="O87" i="1" s="1"/>
  <c r="N91" i="1"/>
  <c r="O91" i="1" s="1"/>
  <c r="N95" i="1"/>
  <c r="O95" i="1" s="1"/>
  <c r="N99" i="1"/>
  <c r="O99" i="1" s="1"/>
  <c r="N103" i="1"/>
  <c r="O103" i="1" s="1"/>
  <c r="N107" i="1"/>
  <c r="O107" i="1" s="1"/>
  <c r="N12" i="1"/>
  <c r="O12" i="1" s="1"/>
  <c r="P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Monthly M01-M12; Quarterly Q1-Q4; Half Yearly H1-H2; Annual AN. Leave blank for Custom Period.</t>
        </r>
      </text>
    </comment>
    <comment ref="I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Sequence makes the code unique when the same customer has more than one scheme with the same period/type/basis. Use 1-9, then A-Z.</t>
        </r>
      </text>
    </comment>
    <comment ref="N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Maximum format: YY + custom period (CMMmm) + - + scheme type (2) + basis (1) + sequence (1) + - + customer code (7). Max 20 characters.</t>
        </r>
      </text>
    </comment>
  </commentList>
</comments>
</file>

<file path=xl/sharedStrings.xml><?xml version="1.0" encoding="utf-8"?>
<sst xmlns="http://schemas.openxmlformats.org/spreadsheetml/2006/main" count="336" uniqueCount="235">
  <si>
    <t>CHANNEL PARTNER INCENTIVE SCHEME CODE GENERATOR</t>
  </si>
  <si>
    <t>SAP scheme code is automatically generated and limited to 20 characters. Customer Code remains at the end.</t>
  </si>
  <si>
    <t>Custom period example: FY 2026-27 | Sep to Aug | Tie up | Value Based | Seq 1 | Customer 1234567  →  27C0908-TUV1-1234567</t>
  </si>
  <si>
    <t>Select Financial Year from the dropdown. The final code uses the FY ending year: FY 2026-27 → 27. For custom periods, select the FY in which the scheme starts.</t>
  </si>
  <si>
    <t>Sr No</t>
  </si>
  <si>
    <t>Financial Year</t>
  </si>
  <si>
    <t>Period Type</t>
  </si>
  <si>
    <t>Standard
Period</t>
  </si>
  <si>
    <t>Custom Start
Month</t>
  </si>
  <si>
    <t>Custom End
Month</t>
  </si>
  <si>
    <t>Scheme Type</t>
  </si>
  <si>
    <t>Scheme Basis</t>
  </si>
  <si>
    <t>Seq</t>
  </si>
  <si>
    <t>Customer Code
(7 Char)</t>
  </si>
  <si>
    <t>Period Code</t>
  </si>
  <si>
    <t>Type
Code</t>
  </si>
  <si>
    <t>Basis
Code</t>
  </si>
  <si>
    <t>Final SAP Scheme Code</t>
  </si>
  <si>
    <t>Char
Count</t>
  </si>
  <si>
    <t>Status</t>
  </si>
  <si>
    <t>FY 2026-27</t>
  </si>
  <si>
    <t>Custom Period</t>
  </si>
  <si>
    <t>Sep</t>
  </si>
  <si>
    <t>Aug</t>
  </si>
  <si>
    <t>Tie up</t>
  </si>
  <si>
    <t>Value Based</t>
  </si>
  <si>
    <t>1</t>
  </si>
  <si>
    <t>1234567</t>
  </si>
  <si>
    <t>Quarterly</t>
  </si>
  <si>
    <t>Q2</t>
  </si>
  <si>
    <t>Festive</t>
  </si>
  <si>
    <t>Quantity Based</t>
  </si>
  <si>
    <t>7654321</t>
  </si>
  <si>
    <t>Monthly</t>
  </si>
  <si>
    <t>M10</t>
  </si>
  <si>
    <t>Sellout</t>
  </si>
  <si>
    <t>2345678</t>
  </si>
  <si>
    <t>M04</t>
  </si>
  <si>
    <t>M01</t>
  </si>
  <si>
    <t>Liquidation</t>
  </si>
  <si>
    <t>Q1</t>
  </si>
  <si>
    <t>Q4</t>
  </si>
  <si>
    <t>Special Period</t>
  </si>
  <si>
    <t>Half Yearly</t>
  </si>
  <si>
    <t>H1</t>
  </si>
  <si>
    <t>H2</t>
  </si>
  <si>
    <t>Annual</t>
  </si>
  <si>
    <t>AN</t>
  </si>
  <si>
    <t>Oct</t>
  </si>
  <si>
    <t>Mar</t>
  </si>
  <si>
    <t>Dec</t>
  </si>
  <si>
    <t>Feb</t>
  </si>
  <si>
    <t>Apr</t>
  </si>
  <si>
    <t>Jan</t>
  </si>
  <si>
    <t>Jun</t>
  </si>
  <si>
    <t>2</t>
  </si>
  <si>
    <t>FY 2027-28</t>
  </si>
  <si>
    <t>M09</t>
  </si>
  <si>
    <t>Cash Discount</t>
  </si>
  <si>
    <t>Q3</t>
  </si>
  <si>
    <t>Growth</t>
  </si>
  <si>
    <t>FOC</t>
  </si>
  <si>
    <t>Standard Period Code</t>
  </si>
  <si>
    <t>Type Code</t>
  </si>
  <si>
    <t>Basis Code</t>
  </si>
  <si>
    <t>Sequence</t>
  </si>
  <si>
    <t>Month</t>
  </si>
  <si>
    <t>FS</t>
  </si>
  <si>
    <t>V</t>
  </si>
  <si>
    <t>FY 2023-24</t>
  </si>
  <si>
    <t>M02</t>
  </si>
  <si>
    <t>TU</t>
  </si>
  <si>
    <t>Q</t>
  </si>
  <si>
    <t>FY 2024-25</t>
  </si>
  <si>
    <t>M03</t>
  </si>
  <si>
    <t>SO</t>
  </si>
  <si>
    <t>3</t>
  </si>
  <si>
    <t>FY 2025-26</t>
  </si>
  <si>
    <t>LQ</t>
  </si>
  <si>
    <t>4</t>
  </si>
  <si>
    <t>M05</t>
  </si>
  <si>
    <t>SP</t>
  </si>
  <si>
    <t>5</t>
  </si>
  <si>
    <t>May</t>
  </si>
  <si>
    <t>M06</t>
  </si>
  <si>
    <t>CD</t>
  </si>
  <si>
    <t>6</t>
  </si>
  <si>
    <t>FY 2028-29</t>
  </si>
  <si>
    <t>M07</t>
  </si>
  <si>
    <t>GR</t>
  </si>
  <si>
    <t>7</t>
  </si>
  <si>
    <t>Jul</t>
  </si>
  <si>
    <t>FY 2029-30</t>
  </si>
  <si>
    <t>M08</t>
  </si>
  <si>
    <t>FC</t>
  </si>
  <si>
    <t>8</t>
  </si>
  <si>
    <t>FY 2030-31</t>
  </si>
  <si>
    <t>9</t>
  </si>
  <si>
    <t>FY 2031-32</t>
  </si>
  <si>
    <t>A</t>
  </si>
  <si>
    <t>FY 2032-33</t>
  </si>
  <si>
    <t>M11</t>
  </si>
  <si>
    <t>B</t>
  </si>
  <si>
    <t>Nov</t>
  </si>
  <si>
    <t>FY 2033-34</t>
  </si>
  <si>
    <t>M12</t>
  </si>
  <si>
    <t>C</t>
  </si>
  <si>
    <t>FY 2034-35</t>
  </si>
  <si>
    <t>D</t>
  </si>
  <si>
    <t>FY 2035-36</t>
  </si>
  <si>
    <t>E</t>
  </si>
  <si>
    <t>FY 2036-37</t>
  </si>
  <si>
    <t>F</t>
  </si>
  <si>
    <t>FY 2037-38</t>
  </si>
  <si>
    <t>G</t>
  </si>
  <si>
    <t>FY 2038-39</t>
  </si>
  <si>
    <t>H</t>
  </si>
  <si>
    <t>FY 2039-40</t>
  </si>
  <si>
    <t>I</t>
  </si>
  <si>
    <t>FY 2040-41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</si>
  <si>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</si>
  <si>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</si>
  <si>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</si>
  <si>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</si>
  <si>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</si>
  <si>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</si>
  <si>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</si>
  <si>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</si>
  <si>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</si>
  <si>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</si>
  <si>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</si>
  <si>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W</t>
  </si>
  <si>
    <t>X</t>
  </si>
  <si>
    <t>Y</t>
  </si>
  <si>
    <t>Z</t>
  </si>
  <si>
    <t>How to Use the Scheme Code Tool</t>
  </si>
  <si>
    <t>Step</t>
  </si>
  <si>
    <t>Instruction</t>
  </si>
  <si>
    <t>1. Financial Year</t>
  </si>
  <si>
    <t>Select the Financial Year from the dropdown. The code automatically uses the FY ending year: FY 2026-27 = 27. For a custom period, select the FY in which the scheme starts.</t>
  </si>
  <si>
    <t>2. Period Type</t>
  </si>
  <si>
    <t>Choose Monthly, Quarterly, Half Yearly, Annual, or Custom Period.</t>
  </si>
  <si>
    <t>3. Standard Period</t>
  </si>
  <si>
    <t>For standard periods select M01-M12, Q1-Q4, H1-H2, or AN. For Custom Period leave this blank.</t>
  </si>
  <si>
    <t>4. Custom Months</t>
  </si>
  <si>
    <t>For Custom Period choose Start Month and End Month. Example: FY 2026-27 + Sep to Aug becomes period code C0908 and represents Sep-26 to Aug-27.</t>
  </si>
  <si>
    <t>5. Scheme Type</t>
  </si>
  <si>
    <t>Single Scheme Type master: Festive = FS; Tie up = TU; Sellout = SO; Liquidation = LQ; Special Period = SP; Cash Discount = CD; Growth = GR; FOC = FC.</t>
  </si>
  <si>
    <t>6. Scheme Basis</t>
  </si>
  <si>
    <t>Value Based = V; Quantity Based = Q.</t>
  </si>
  <si>
    <t>7. Sequence</t>
  </si>
  <si>
    <t>Use 1 for the first scheme. If the same combination repeats, use 2, 3 ... 9, then A-Z to retain uniqueness.</t>
  </si>
  <si>
    <t>8. Customer Code</t>
  </si>
  <si>
    <t>Enter exactly 7 characters. Customer Code is always placed at the end of the final SAP code.</t>
  </si>
  <si>
    <t>9. Final Code</t>
  </si>
  <si>
    <t>The tool generates the code automatically, derives the 2-character FY code, and checks the SAP 20-character limit.</t>
  </si>
  <si>
    <t>Examples</t>
  </si>
  <si>
    <t>FY 2026-27 | Monthly M04 | Festive | Value | Seq 1 | 1234567</t>
  </si>
  <si>
    <t>27M04-FSV1-1234567</t>
  </si>
  <si>
    <t>Period</t>
  </si>
  <si>
    <t>Type/Basis/Seq</t>
  </si>
  <si>
    <t>Customer</t>
  </si>
  <si>
    <t>Final Code</t>
  </si>
  <si>
    <t>FY 2026-27 | Quarterly Q2 | Tie up | Quantity | Seq 1 | 1234567</t>
  </si>
  <si>
    <t>27Q2-TUQ1-1234567</t>
  </si>
  <si>
    <t>C0908</t>
  </si>
  <si>
    <t>TU / V / 1</t>
  </si>
  <si>
    <t>27C0908-TUV1-1234567</t>
  </si>
  <si>
    <t>FY 2026-27 | Half Year H1 | Sellout | Value | Seq 1 | 1234567</t>
  </si>
  <si>
    <t>27H1-SOV1-1234567</t>
  </si>
  <si>
    <t>FS / Q / 1</t>
  </si>
  <si>
    <t>27Q2-FSQ1-7654321</t>
  </si>
  <si>
    <t>FY 2026-27 | Annual | Liquidation | Quantity | Seq 1 | 1234567</t>
  </si>
  <si>
    <t>27AN-LQQ1-1234567</t>
  </si>
  <si>
    <t>SO / V / 1</t>
  </si>
  <si>
    <t>27M10-SOV1-2345678</t>
  </si>
  <si>
    <t>FY 2026-27 | Custom Sep-Aug | Tie up | Value | Seq 1 | 1234567</t>
  </si>
  <si>
    <t>FY 2026-27 | Monthly M09 | Cash Discount | Value | Seq 1 | 8234567</t>
  </si>
  <si>
    <t>27M09-CDV1-8234567</t>
  </si>
  <si>
    <t>FY 2026-27 | Quarterly Q3 | Growth | Value | Seq 1 | 9234567</t>
  </si>
  <si>
    <t>27Q3-GRV1-9234567</t>
  </si>
  <si>
    <t>FY 2026-27 | Custom Sep-Aug | FOC | Quantity | Seq 1 | 1334567</t>
  </si>
  <si>
    <t>27C0908-FCQ1-1334567</t>
  </si>
  <si>
    <t>1000177</t>
  </si>
  <si>
    <t>Festive-PU</t>
  </si>
  <si>
    <t>Tie up-PU</t>
  </si>
  <si>
    <t>Sellout-PU</t>
  </si>
  <si>
    <t>Liquidation-PU</t>
  </si>
  <si>
    <t>Special Period-PU</t>
  </si>
  <si>
    <t>Cash Discount-PU</t>
  </si>
  <si>
    <t>Growth-PU</t>
  </si>
  <si>
    <t>FOC-PU</t>
  </si>
  <si>
    <t>PF</t>
  </si>
  <si>
    <t>PT</t>
  </si>
  <si>
    <t>PS</t>
  </si>
  <si>
    <t>PL</t>
  </si>
  <si>
    <t>PC</t>
  </si>
  <si>
    <t>PO</t>
  </si>
  <si>
    <t>PG</t>
  </si>
  <si>
    <t>PD</t>
  </si>
  <si>
    <t>1000675</t>
  </si>
  <si>
    <t>CF</t>
  </si>
  <si>
    <t>Turnover Rebate-% Based (Amount Scale)-Festive</t>
  </si>
  <si>
    <t>Turnover Rebate-% Based (Amount Scale)-Specific</t>
  </si>
  <si>
    <t>Turnover Rebate-% Based (Amount Scale)-Period</t>
  </si>
  <si>
    <t>Turnover Rebate - % Based (amount Scale) - Liquidation</t>
  </si>
  <si>
    <t>CS</t>
  </si>
  <si>
    <t>CP</t>
  </si>
  <si>
    <t>CL</t>
  </si>
  <si>
    <t>Quantity Rebate-$/unit (Qty Scale)-Festive</t>
  </si>
  <si>
    <t>Quantity Rebate-$/unit (Qty Scale)-Specific</t>
  </si>
  <si>
    <t>Quantity Rebate-$/unit (Qty Scale)-Annual</t>
  </si>
  <si>
    <t>Quantity Rebate-$/unit (Qty Scale)-Liquidation</t>
  </si>
  <si>
    <t>Cluster of Customer-SCALE % Based (Amount Scale)-Festive</t>
  </si>
  <si>
    <t>Cluster of Customer-SCALE-% Based (Amount Scale)-Specific</t>
  </si>
  <si>
    <t>Cluster of Customer-SCALE-% Based (amount Scale) - Liquidation</t>
  </si>
  <si>
    <t>Cluster of Customer-$/unit (Qty Scale)-Festive</t>
  </si>
  <si>
    <t>Cluster of Customer-$/unit (Qty Scale)-Specific</t>
  </si>
  <si>
    <t>Cluster of Customer-$/unit (Qty Scale)-Liquidation</t>
  </si>
  <si>
    <t>Cluster of Customer-$/unit (Qty Scale)-Periodic</t>
  </si>
  <si>
    <t>Cluster of Customer-SCALE-% Based (Amount Scale)-Periodic</t>
  </si>
  <si>
    <t>KF</t>
  </si>
  <si>
    <t>KS</t>
  </si>
  <si>
    <t>KP</t>
  </si>
  <si>
    <t>KL</t>
  </si>
  <si>
    <t>Party name</t>
  </si>
  <si>
    <t>MA</t>
  </si>
  <si>
    <t>Customer code</t>
  </si>
  <si>
    <t>FY</t>
  </si>
  <si>
    <t>Code</t>
  </si>
  <si>
    <t>-</t>
  </si>
  <si>
    <t>Master Agreement</t>
  </si>
  <si>
    <t>Final Master Agreement code</t>
  </si>
  <si>
    <t>Customer Name</t>
  </si>
  <si>
    <t>EP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</si>
</sst>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name val="Calibri"/>
      <family val="2"/>
    </font>
    <font>
      <sz val="11"/>
      <color rgb="FFC659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5"/>
      <color rgb="FFFFFFFF"/>
      <name val="Calibri"/>
      <family val="2"/>
    </font>
    <font>
      <b/>
      <sz val="11"/>
      <color rgb="FF666666"/>
      <name val="Calibri"/>
      <family val="2"/>
    </font>
    <font>
      <b/>
      <sz val="12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49" fontId="7" fillId="6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2" borderId="0" xfId="0" applyFont="1" applyFill="1"/>
    <xf numFmtId="0" fontId="11" fillId="0" borderId="0" xfId="0" applyFont="1"/>
    <xf numFmtId="0" fontId="0" fillId="0" borderId="0" xfId="0" applyAlignment="1">
      <alignment vertical="top" wrapText="1"/>
    </xf>
    <xf numFmtId="0" fontId="5" fillId="9" borderId="0" xfId="0" applyFont="1" applyFill="1" applyAlignment="1">
      <alignment horizontal="center" wrapText="1"/>
    </xf>
    <xf numFmtId="0" fontId="5" fillId="0" borderId="0" xfId="0" applyFont="1" applyAlignment="1">
      <alignment vertical="top" wrapText="1"/>
    </xf>
    <xf numFmtId="49" fontId="14" fillId="6" borderId="0" xfId="0" applyNumberFormat="1" applyFont="1" applyFill="1" applyAlignment="1">
      <alignment horizontal="center"/>
    </xf>
    <xf numFmtId="0" fontId="13" fillId="3" borderId="0" xfId="0" applyFont="1" applyFill="1"/>
    <xf numFmtId="0" fontId="0" fillId="0" borderId="2" xfId="0" applyBorder="1"/>
    <xf numFmtId="0" fontId="0" fillId="10" borderId="2" xfId="0" applyFill="1" applyBorder="1"/>
    <xf numFmtId="0" fontId="10" fillId="2" borderId="0" xfId="0" applyFont="1" applyFill="1" applyAlignment="1">
      <alignment horizontal="center"/>
    </xf>
    <xf numFmtId="0" fontId="0" fillId="0" borderId="0" xfId="0"/>
    <xf numFmtId="0" fontId="12" fillId="2" borderId="0" xfId="0" applyFont="1" applyFill="1"/>
    <xf numFmtId="0" fontId="3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quotePrefix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meCodeTable" displayName="SchemeCodeTable" ref="A6:Q107">
  <autoFilter ref="A6:Q107" xr:uid="{00000000-0009-0000-0100-000001000000}"/>
  <tableColumns count="17">
    <tableColumn id="1" xr3:uid="{00000000-0010-0000-0000-000001000000}" name="Sr No"/>
    <tableColumn id="2" xr3:uid="{00000000-0010-0000-0000-000002000000}" name="Financial Year"/>
    <tableColumn id="3" xr3:uid="{00000000-0010-0000-0000-000003000000}" name="Period Type"/>
    <tableColumn id="4" xr3:uid="{00000000-0010-0000-0000-000004000000}" name="Standard_x000a_Period"/>
    <tableColumn id="5" xr3:uid="{00000000-0010-0000-0000-000005000000}" name="Custom Start_x000a_Month"/>
    <tableColumn id="6" xr3:uid="{00000000-0010-0000-0000-000006000000}" name="Custom End_x000a_Month"/>
    <tableColumn id="7" xr3:uid="{00000000-0010-0000-0000-000007000000}" name="Scheme Type"/>
    <tableColumn id="8" xr3:uid="{00000000-0010-0000-0000-000008000000}" name="Scheme Basis"/>
    <tableColumn id="9" xr3:uid="{00000000-0010-0000-0000-000009000000}" name="Seq"/>
    <tableColumn id="10" xr3:uid="{00000000-0010-0000-0000-00000A000000}" name="Customer Code_x000a_(7 Char)"/>
    <tableColumn id="11" xr3:uid="{00000000-0010-0000-0000-00000B000000}" name="Period Code">
      <calculatedColumnFormula>IF(C7="Custom Period",IF(OR(E7="",F7=""),"",""&amp;TEXT(MATCH(E7,Codebook!$H$2:$H$13,0),"00")&amp;TEXT(MATCH(F7,Codebook!$H$2:$H$13,0),"00")),D7)</calculatedColumnFormula>
    </tableColumn>
    <tableColumn id="12" xr3:uid="{00000000-0010-0000-0000-00000C000000}" name="Type_x000a_Code">
      <calculatedColumnFormula>IFERROR(INDEX(Codebook!$D$2:$D$50,MATCH(G7,Codebook!$C$2:$C$50,0)),"")</calculatedColumnFormula>
    </tableColumn>
    <tableColumn id="13" xr3:uid="{00000000-0010-0000-0000-00000D000000}" name="Basis_x000a_Code"/>
    <tableColumn id="14" xr3:uid="{00000000-0010-0000-0000-00000E000000}" name="Final SAP Scheme Code"/>
    <tableColumn id="15" xr3:uid="{00000000-0010-0000-0000-00000F000000}" name="Char_x000a_Count"/>
    <tableColumn id="16" xr3:uid="{00000000-0010-0000-0000-000010000000}" name="Status"/>
    <tableColumn id="17" xr3:uid="{0CB9E900-959D-41FA-997A-2B6A5FD2A1EA}" name="Party nam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A6FF-FAEE-4815-8F50-E1CBE3C98EB8}">
  <dimension ref="A2:G3"/>
  <sheetViews>
    <sheetView tabSelected="1" workbookViewId="0">
      <selection activeCell="C18" sqref="C18"/>
    </sheetView>
  </sheetViews>
  <sheetFormatPr defaultRowHeight="14.5" x14ac:dyDescent="0.35"/>
  <cols>
    <col min="1" max="1" width="16.453125" bestFit="1" customWidth="1"/>
    <col min="2" max="2" width="11" customWidth="1"/>
    <col min="3" max="3" width="13.453125" bestFit="1" customWidth="1"/>
    <col min="6" max="6" width="25.54296875" bestFit="1" customWidth="1"/>
    <col min="7" max="7" width="17.08984375" bestFit="1" customWidth="1"/>
  </cols>
  <sheetData>
    <row r="2" spans="1:7" x14ac:dyDescent="0.35">
      <c r="A2" s="17" t="s">
        <v>231</v>
      </c>
      <c r="B2" s="17" t="s">
        <v>229</v>
      </c>
      <c r="C2" s="17" t="s">
        <v>227</v>
      </c>
      <c r="D2" s="17"/>
      <c r="E2" s="17" t="s">
        <v>228</v>
      </c>
      <c r="F2" s="17" t="s">
        <v>232</v>
      </c>
      <c r="G2" s="17" t="s">
        <v>233</v>
      </c>
    </row>
    <row r="3" spans="1:7" x14ac:dyDescent="0.35">
      <c r="A3" s="17" t="s">
        <v>226</v>
      </c>
      <c r="B3" s="26" t="s">
        <v>230</v>
      </c>
      <c r="C3" s="17">
        <v>1000589</v>
      </c>
      <c r="D3" s="17" t="s">
        <v>230</v>
      </c>
      <c r="E3" s="17">
        <v>27</v>
      </c>
      <c r="F3" s="17" t="str">
        <f>_xlfn.CONCAT(A3,B3,C3,D3,E3)</f>
        <v>MA-1000589-27</v>
      </c>
      <c r="G3" s="17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Q107"/>
  <sheetViews>
    <sheetView showGridLines="0" workbookViewId="0">
      <pane ySplit="6" topLeftCell="A13" activePane="bottomLeft" state="frozen"/>
      <selection pane="bottomLeft" activeCell="J6" sqref="J6:J11"/>
    </sheetView>
  </sheetViews>
  <sheetFormatPr defaultRowHeight="14.5" x14ac:dyDescent="0.35"/>
  <cols>
    <col min="1" max="1" width="7" customWidth="1"/>
    <col min="2" max="2" width="16" customWidth="1"/>
    <col min="3" max="3" width="17" customWidth="1"/>
    <col min="4" max="4" width="13" customWidth="1"/>
    <col min="5" max="6" width="15" customWidth="1"/>
    <col min="7" max="8" width="17" customWidth="1"/>
    <col min="9" max="9" width="7" customWidth="1"/>
    <col min="10" max="10" width="16" customWidth="1"/>
    <col min="11" max="11" width="13" customWidth="1"/>
    <col min="12" max="13" width="10" customWidth="1"/>
    <col min="14" max="14" width="28" customWidth="1"/>
    <col min="15" max="15" width="10" customWidth="1"/>
    <col min="16" max="16" width="16" customWidth="1"/>
    <col min="17" max="17" width="13.26953125" bestFit="1" customWidth="1"/>
  </cols>
  <sheetData>
    <row r="1" spans="1:17" ht="28" customHeight="1" x14ac:dyDescent="0.35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7" x14ac:dyDescent="0.35">
      <c r="A2" s="25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7" x14ac:dyDescent="0.35">
      <c r="A3" s="24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7" ht="34" customHeight="1" x14ac:dyDescent="0.35">
      <c r="A4" s="23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6" spans="1:17" ht="40" customHeight="1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t="s">
        <v>225</v>
      </c>
    </row>
    <row r="7" spans="1:17" x14ac:dyDescent="0.35">
      <c r="A7" s="2">
        <v>1</v>
      </c>
      <c r="B7" s="3" t="s">
        <v>20</v>
      </c>
      <c r="C7" s="4" t="s">
        <v>21</v>
      </c>
      <c r="D7" s="4"/>
      <c r="E7" s="4" t="s">
        <v>22</v>
      </c>
      <c r="F7" s="4" t="s">
        <v>23</v>
      </c>
      <c r="G7" s="4" t="s">
        <v>30</v>
      </c>
      <c r="H7" s="4" t="s">
        <v>25</v>
      </c>
      <c r="I7" s="4" t="s">
        <v>26</v>
      </c>
      <c r="J7" s="5" t="s">
        <v>27</v>
      </c>
      <c r="K7" s="6" t="str">
        <f>IF(C7="Custom Period",IF(OR(E7="C",F7="C"),"C","C"&amp;TEXT(MATCH(E7,Codebook!$H$2:$H$13,0),"00")&amp;TEXT(MATCH(F7,Codebook!$H$2:$H$13,0),"00")),D7)</f>
        <v>C0908</v>
      </c>
      <c r="L7" s="6" t="str">
        <f>IFERROR(INDEX(Codebook!$D$2:$D$50,MATCH(G7,Codebook!$C$2:$C$50,0)),"")</f>
        <v>FS</v>
      </c>
      <c r="M7" s="6" t="str">
        <f>IFERROR(INDEX(Codebook!$F$2:$F$3,MATCH(H7,Codebook!$E$2:$E$3,0)),"")</f>
        <v>V</v>
      </c>
      <c r="N7" s="7" t="str">
        <f t="shared" ref="N7:N39" si="0">IF(OR(B7="",K7="",L7="",M7="",I7="",J7=""),"",RIGHT(B7,2)&amp;K7&amp;"-"&amp;L7&amp;M7&amp;I7&amp;"-"&amp;J7)</f>
        <v>27C0908-FSV1-1234567</v>
      </c>
      <c r="O7" s="6">
        <f t="shared" ref="O7:O39" si="1">IF(N7="","",LEN(N7))</f>
        <v>20</v>
      </c>
      <c r="P7" s="6" t="str">
        <f t="shared" ref="P7:P39" si="2">IF(COUNTA(B7:J7)=0,"",IF(AND(LEFT(B7,3)="FY ",LEN(B7)=10,LEN(I7&amp;"")=1,LEN(J7&amp;"")=7,O7&lt;=20,OR(AND(C7="Custom Period",E7&lt;&gt;"",F7&lt;&gt;""),AND(C7="Monthly",LEFT(D7,1)="M"),AND(C7="Quarterly",LEFT(D7,1)="Q"),AND(C7="Half Yearly",LEFT(D7,1)="H"),AND(C7="Annual",D7="AN"))),"OK","CHECK INPUT"))</f>
        <v>OK</v>
      </c>
    </row>
    <row r="8" spans="1:17" x14ac:dyDescent="0.35">
      <c r="A8" s="2">
        <v>2</v>
      </c>
      <c r="B8" s="3" t="s">
        <v>20</v>
      </c>
      <c r="C8" s="4" t="s">
        <v>33</v>
      </c>
      <c r="D8" s="4" t="s">
        <v>38</v>
      </c>
      <c r="E8" s="4"/>
      <c r="F8" s="4"/>
      <c r="G8" s="4" t="s">
        <v>30</v>
      </c>
      <c r="H8" s="4" t="s">
        <v>31</v>
      </c>
      <c r="I8" s="4" t="s">
        <v>26</v>
      </c>
      <c r="J8" s="15" t="s">
        <v>200</v>
      </c>
      <c r="K8" s="6" t="str">
        <f>IF(C8="Custom Period",IF(OR(E8="C",F8="C"),"C","C"&amp;TEXT(MATCH(E8,Codebook!$H$2:$H$13,0),"00")&amp;TEXT(MATCH(F8,Codebook!$H$2:$H$13,0),"00")),D8)</f>
        <v>M01</v>
      </c>
      <c r="L8" s="6" t="str">
        <f>IFERROR(INDEX(Codebook!$D$2:$D$50,MATCH(G8,Codebook!$C$2:$C$50,0)),"")</f>
        <v>FS</v>
      </c>
      <c r="M8" s="6" t="str">
        <f>IFERROR(INDEX(Codebook!$F$2:$F$3,MATCH(H8,Codebook!$E$2:$E$3,0)),"")</f>
        <v>Q</v>
      </c>
      <c r="N8" s="7" t="str">
        <f t="shared" si="0"/>
        <v>27M01-FSQ1-1000675</v>
      </c>
      <c r="O8" s="6">
        <f t="shared" si="1"/>
        <v>18</v>
      </c>
      <c r="P8" s="6" t="str">
        <f t="shared" si="2"/>
        <v>OK</v>
      </c>
    </row>
    <row r="9" spans="1:17" x14ac:dyDescent="0.35">
      <c r="A9" s="2">
        <v>3</v>
      </c>
      <c r="B9" s="3" t="s">
        <v>20</v>
      </c>
      <c r="C9" s="4" t="s">
        <v>28</v>
      </c>
      <c r="D9" s="4" t="s">
        <v>29</v>
      </c>
      <c r="E9" s="4"/>
      <c r="F9" s="4"/>
      <c r="G9" s="4" t="s">
        <v>30</v>
      </c>
      <c r="H9" s="4" t="s">
        <v>25</v>
      </c>
      <c r="I9" s="4" t="s">
        <v>26</v>
      </c>
      <c r="J9" s="15" t="s">
        <v>200</v>
      </c>
      <c r="K9" s="6" t="str">
        <f>IF(C9="Custom Period",IF(OR(E9="C",F9="C"),"C","C"&amp;TEXT(MATCH(E9,Codebook!$H$2:$H$13,0),"00")&amp;TEXT(MATCH(F9,Codebook!$H$2:$H$13,0),"00")),D9)</f>
        <v>Q2</v>
      </c>
      <c r="L9" s="6" t="str">
        <f>IFERROR(INDEX(Codebook!$D$2:$D$50,MATCH(G9,Codebook!$C$2:$C$50,0)),"")</f>
        <v>FS</v>
      </c>
      <c r="M9" s="6" t="str">
        <f>IFERROR(INDEX(Codebook!$F$2:$F$3,MATCH(H9,Codebook!$E$2:$E$3,0)),"")</f>
        <v>V</v>
      </c>
      <c r="N9" s="7" t="str">
        <f t="shared" si="0"/>
        <v>27Q2-FSV1-1000675</v>
      </c>
      <c r="O9" s="6">
        <f t="shared" si="1"/>
        <v>17</v>
      </c>
      <c r="P9" s="6" t="str">
        <f t="shared" si="2"/>
        <v>OK</v>
      </c>
    </row>
    <row r="10" spans="1:17" x14ac:dyDescent="0.35">
      <c r="A10" s="2">
        <v>4</v>
      </c>
      <c r="B10" s="3" t="s">
        <v>20</v>
      </c>
      <c r="C10" s="4" t="s">
        <v>46</v>
      </c>
      <c r="D10" s="4" t="s">
        <v>47</v>
      </c>
      <c r="E10" s="4"/>
      <c r="F10" s="4"/>
      <c r="G10" s="4" t="s">
        <v>30</v>
      </c>
      <c r="H10" s="4" t="s">
        <v>31</v>
      </c>
      <c r="I10" s="4" t="s">
        <v>26</v>
      </c>
      <c r="J10" s="15" t="s">
        <v>183</v>
      </c>
      <c r="K10" s="6" t="str">
        <f>IF(C10="Custom Period",IF(OR(E10="C",F10="C"),"C","C"&amp;TEXT(MATCH(E10,Codebook!$H$2:$H$13,0),"00")&amp;TEXT(MATCH(F10,Codebook!$H$2:$H$13,0),"00")),D10)</f>
        <v>AN</v>
      </c>
      <c r="L10" s="6" t="str">
        <f>IFERROR(INDEX(Codebook!$D$2:$D$50,MATCH(G10,Codebook!$C$2:$C$50,0)),"")</f>
        <v>FS</v>
      </c>
      <c r="M10" s="6" t="str">
        <f>IFERROR(INDEX(Codebook!$F$2:$F$3,MATCH(H10,Codebook!$E$2:$E$3,0)),"")</f>
        <v>Q</v>
      </c>
      <c r="N10" s="7" t="str">
        <f t="shared" si="0"/>
        <v>27AN-FSQ1-1000177</v>
      </c>
      <c r="O10" s="6">
        <f t="shared" si="1"/>
        <v>17</v>
      </c>
      <c r="P10" s="6" t="str">
        <f t="shared" si="2"/>
        <v>OK</v>
      </c>
    </row>
    <row r="11" spans="1:17" x14ac:dyDescent="0.35">
      <c r="A11" s="2">
        <v>5</v>
      </c>
      <c r="B11" s="3" t="s">
        <v>20</v>
      </c>
      <c r="C11" s="4" t="s">
        <v>21</v>
      </c>
      <c r="D11" s="4"/>
      <c r="E11" s="4" t="s">
        <v>83</v>
      </c>
      <c r="F11" s="4" t="s">
        <v>91</v>
      </c>
      <c r="G11" s="4" t="s">
        <v>30</v>
      </c>
      <c r="H11" s="4" t="s">
        <v>31</v>
      </c>
      <c r="I11" s="4" t="s">
        <v>26</v>
      </c>
      <c r="J11" s="5" t="s">
        <v>36</v>
      </c>
      <c r="K11" s="6" t="str">
        <f>IF(C11="Custom Period",IF(OR(E11="C",F11="C"),"C","C"&amp;TEXT(MATCH(E11,Codebook!$H$2:$H$13,0),"00")&amp;TEXT(MATCH(F11,Codebook!$H$2:$H$13,0),"00")),D11)</f>
        <v>C0507</v>
      </c>
      <c r="L11" s="6" t="str">
        <f>IFERROR(INDEX(Codebook!$D$2:$D$50,MATCH(G11,Codebook!$C$2:$C$50,0)),"")</f>
        <v>FS</v>
      </c>
      <c r="M11" s="6" t="str">
        <f>IFERROR(INDEX(Codebook!$F$2:$F$3,MATCH(H11,Codebook!$E$2:$E$3,0)),"")</f>
        <v>Q</v>
      </c>
      <c r="N11" s="7" t="str">
        <f t="shared" ref="N11" si="3">IF(OR(B11="",K11="",L11="",M11="",I11="",J11=""),"",RIGHT(B11,2)&amp;K11&amp;"-"&amp;L11&amp;M11&amp;I11&amp;"-"&amp;J11)</f>
        <v>27C0507-FSQ1-2345678</v>
      </c>
      <c r="O11" s="6">
        <f t="shared" ref="O11" si="4">IF(N11="","",LEN(N11))</f>
        <v>20</v>
      </c>
      <c r="P11" s="6" t="str">
        <f t="shared" ref="P11" si="5">IF(COUNTA(B11:J11)=0,"",IF(AND(LEFT(B11,3)="FY ",LEN(B11)=10,LEN(I11&amp;"")=1,LEN(J11&amp;"")=7,O11&lt;=20,OR(AND(C11="Custom Period",E11&lt;&gt;"",F11&lt;&gt;""),AND(C11="Monthly",LEFT(D11,1)="M"),AND(C11="Quarterly",LEFT(D11,1)="Q"),AND(C11="Half Yearly",LEFT(D11,1)="H"),AND(C11="Annual",D11="AN"))),"OK","CHECK INPUT"))</f>
        <v>OK</v>
      </c>
    </row>
    <row r="12" spans="1:17" x14ac:dyDescent="0.35">
      <c r="A12" s="2">
        <v>5</v>
      </c>
      <c r="B12" s="3" t="s">
        <v>20</v>
      </c>
      <c r="C12" s="4" t="s">
        <v>33</v>
      </c>
      <c r="D12" s="4" t="s">
        <v>88</v>
      </c>
      <c r="E12" s="4"/>
      <c r="F12" s="4"/>
      <c r="G12" s="4" t="s">
        <v>30</v>
      </c>
      <c r="H12" s="4" t="s">
        <v>25</v>
      </c>
      <c r="I12" s="4" t="s">
        <v>26</v>
      </c>
      <c r="J12" s="15" t="s">
        <v>183</v>
      </c>
      <c r="K12" s="6" t="str">
        <f>IF(C12="Custom Period",IF(OR(E12="C",F12="C"),"C","C"&amp;TEXT(MATCH(E12,Codebook!$H$2:$H$13,0),"00")&amp;TEXT(MATCH(F12,Codebook!$H$2:$H$13,0),"00")),D12)</f>
        <v>M07</v>
      </c>
      <c r="L12" s="6" t="str">
        <f>IFERROR(INDEX(Codebook!$D$2:$D$50,MATCH(G12,Codebook!$C$2:$C$50,0)),"")</f>
        <v>FS</v>
      </c>
      <c r="M12" s="6" t="str">
        <f>IFERROR(INDEX(Codebook!$F$2:$F$3,MATCH(H12,Codebook!$E$2:$E$3,0)),"")</f>
        <v>V</v>
      </c>
      <c r="N12" s="7" t="str">
        <f t="shared" ref="N12" si="6">IF(OR(B12="",K12="",L12="",M12="",I12="",J12=""),"",RIGHT(B12,2)&amp;K12&amp;"-"&amp;L12&amp;M12&amp;I12&amp;"-"&amp;J12)</f>
        <v>27M07-FSV1-1000177</v>
      </c>
      <c r="O12" s="6">
        <f t="shared" ref="O12" si="7">IF(N12="","",LEN(N12))</f>
        <v>18</v>
      </c>
      <c r="P12" s="6" t="str">
        <f t="shared" ref="P12" si="8">IF(COUNTA(B12:J12)=0,"",IF(AND(LEFT(B12,3)="FY ",LEN(B12)=10,LEN(I12&amp;"")=1,LEN(J12&amp;"")=7,O12&lt;=20,OR(AND(C12="Custom Period",E12&lt;&gt;"",F12&lt;&gt;""),AND(C12="Monthly",LEFT(D12,1)="M"),AND(C12="Quarterly",LEFT(D12,1)="Q"),AND(C12="Half Yearly",LEFT(D12,1)="H"),AND(C12="Annual",D12="AN"))),"OK","CHECK INPUT"))</f>
        <v>OK</v>
      </c>
    </row>
    <row r="13" spans="1:17" x14ac:dyDescent="0.35">
      <c r="A13" s="2">
        <v>5</v>
      </c>
      <c r="B13" s="3" t="s">
        <v>20</v>
      </c>
      <c r="C13" s="4" t="s">
        <v>28</v>
      </c>
      <c r="D13" s="4" t="s">
        <v>59</v>
      </c>
      <c r="E13" s="4"/>
      <c r="F13" s="4"/>
      <c r="G13" s="4" t="s">
        <v>30</v>
      </c>
      <c r="H13" s="4" t="s">
        <v>25</v>
      </c>
      <c r="I13" s="4" t="s">
        <v>55</v>
      </c>
      <c r="J13" s="15" t="s">
        <v>183</v>
      </c>
      <c r="K13" s="6" t="str">
        <f>IF(C13="Custom Period",IF(OR(E13="C",F13="C"),"C","C"&amp;TEXT(MATCH(E13,Codebook!$H$2:$H$13,0),"00")&amp;TEXT(MATCH(F13,Codebook!$H$2:$H$13,0),"00")),D13)</f>
        <v>Q3</v>
      </c>
      <c r="L13" s="6" t="str">
        <f>IFERROR(INDEX(Codebook!$D$2:$D$50,MATCH(G13,Codebook!$C$2:$C$50,0)),"")</f>
        <v>FS</v>
      </c>
      <c r="M13" s="6" t="str">
        <f>IFERROR(INDEX(Codebook!$F$2:$F$3,MATCH(H13,Codebook!$E$2:$E$3,0)),"")</f>
        <v>V</v>
      </c>
      <c r="N13" s="7" t="str">
        <f t="shared" ref="N13" si="9">IF(OR(B13="",K13="",L13="",M13="",I13="",J13=""),"",RIGHT(B13,2)&amp;K13&amp;"-"&amp;L13&amp;M13&amp;I13&amp;"-"&amp;J13)</f>
        <v>27Q3-FSV2-1000177</v>
      </c>
      <c r="O13" s="6">
        <f t="shared" ref="O13" si="10">IF(N13="","",LEN(N13))</f>
        <v>17</v>
      </c>
      <c r="P13" s="6" t="str">
        <f t="shared" ref="P13" si="11">IF(COUNTA(B13:J13)=0,"",IF(AND(LEFT(B13,3)="FY ",LEN(B13)=10,LEN(I13&amp;"")=1,LEN(J13&amp;"")=7,O13&lt;=20,OR(AND(C13="Custom Period",E13&lt;&gt;"",F13&lt;&gt;""),AND(C13="Monthly",LEFT(D13,1)="M"),AND(C13="Quarterly",LEFT(D13,1)="Q"),AND(C13="Half Yearly",LEFT(D13,1)="H"),AND(C13="Annual",D13="AN"))),"OK","CHECK INPUT"))</f>
        <v>OK</v>
      </c>
    </row>
    <row r="14" spans="1:17" x14ac:dyDescent="0.35">
      <c r="A14" s="2">
        <v>5</v>
      </c>
      <c r="B14" s="3" t="s">
        <v>20</v>
      </c>
      <c r="C14" s="4" t="s">
        <v>43</v>
      </c>
      <c r="D14" s="4" t="s">
        <v>44</v>
      </c>
      <c r="E14" s="4"/>
      <c r="F14" s="4"/>
      <c r="G14" s="4" t="s">
        <v>30</v>
      </c>
      <c r="H14" s="4" t="s">
        <v>31</v>
      </c>
      <c r="I14" s="4" t="s">
        <v>26</v>
      </c>
      <c r="J14" s="15" t="s">
        <v>200</v>
      </c>
      <c r="K14" s="6" t="str">
        <f>IF(C14="Custom Period",IF(OR(E14="C",F14="C"),"C","C"&amp;TEXT(MATCH(E14,Codebook!$H$2:$H$13,0),"00")&amp;TEXT(MATCH(F14,Codebook!$H$2:$H$13,0),"00")),D14)</f>
        <v>H1</v>
      </c>
      <c r="L14" s="6" t="str">
        <f>IFERROR(INDEX(Codebook!$D$2:$D$50,MATCH(G14,Codebook!$C$2:$C$50,0)),"")</f>
        <v>FS</v>
      </c>
      <c r="M14" s="6" t="str">
        <f>IFERROR(INDEX(Codebook!$F$2:$F$3,MATCH(H14,Codebook!$E$2:$E$3,0)),"")</f>
        <v>Q</v>
      </c>
      <c r="N14" s="7" t="str">
        <f t="shared" ref="N14" si="12">IF(OR(B14="",K14="",L14="",M14="",I14="",J14=""),"",RIGHT(B14,2)&amp;K14&amp;"-"&amp;L14&amp;M14&amp;I14&amp;"-"&amp;J14)</f>
        <v>27H1-FSQ1-1000675</v>
      </c>
      <c r="O14" s="6">
        <f t="shared" ref="O14" si="13">IF(N14="","",LEN(N14))</f>
        <v>17</v>
      </c>
      <c r="P14" s="6" t="str">
        <f t="shared" ref="P14" si="14">IF(COUNTA(B14:J14)=0,"",IF(AND(LEFT(B14,3)="FY ",LEN(B14)=10,LEN(I14&amp;"")=1,LEN(J14&amp;"")=7,O14&lt;=20,OR(AND(C14="Custom Period",E14&lt;&gt;"",F14&lt;&gt;""),AND(C14="Monthly",LEFT(D14,1)="M"),AND(C14="Quarterly",LEFT(D14,1)="Q"),AND(C14="Half Yearly",LEFT(D14,1)="H"),AND(C14="Annual",D14="AN"))),"OK","CHECK INPUT"))</f>
        <v>OK</v>
      </c>
    </row>
    <row r="15" spans="1:17" x14ac:dyDescent="0.35">
      <c r="A15" s="2">
        <v>5</v>
      </c>
      <c r="B15" s="3" t="s">
        <v>20</v>
      </c>
      <c r="C15" s="4" t="s">
        <v>46</v>
      </c>
      <c r="D15" s="4" t="s">
        <v>47</v>
      </c>
      <c r="E15" s="4"/>
      <c r="F15" s="4"/>
      <c r="G15" s="4" t="s">
        <v>30</v>
      </c>
      <c r="H15" s="4" t="s">
        <v>25</v>
      </c>
      <c r="I15" s="4" t="s">
        <v>26</v>
      </c>
      <c r="J15" s="15" t="s">
        <v>183</v>
      </c>
      <c r="K15" s="6" t="str">
        <f>IF(C15="Custom Period",IF(OR(E15="C",F15="C"),"C","C"&amp;TEXT(MATCH(E15,Codebook!$H$2:$H$13,0),"00")&amp;TEXT(MATCH(F15,Codebook!$H$2:$H$13,0),"00")),D15)</f>
        <v>AN</v>
      </c>
      <c r="L15" s="6" t="str">
        <f>IFERROR(INDEX(Codebook!$D$2:$D$50,MATCH(G15,Codebook!$C$2:$C$50,0)),"")</f>
        <v>FS</v>
      </c>
      <c r="M15" s="6" t="str">
        <f>IFERROR(INDEX(Codebook!$F$2:$F$3,MATCH(H15,Codebook!$E$2:$E$3,0)),"")</f>
        <v>V</v>
      </c>
      <c r="N15" s="7" t="str">
        <f t="shared" ref="N15" si="15">IF(OR(B15="",K15="",L15="",M15="",I15="",J15=""),"",RIGHT(B15,2)&amp;K15&amp;"-"&amp;L15&amp;M15&amp;I15&amp;"-"&amp;J15)</f>
        <v>27AN-FSV1-1000177</v>
      </c>
      <c r="O15" s="6">
        <f t="shared" ref="O15" si="16">IF(N15="","",LEN(N15))</f>
        <v>17</v>
      </c>
      <c r="P15" s="6" t="str">
        <f t="shared" ref="P15" si="17">IF(COUNTA(B15:J15)=0,"",IF(AND(LEFT(B15,3)="FY ",LEN(B15)=10,LEN(I15&amp;"")=1,LEN(J15&amp;"")=7,O15&lt;=20,OR(AND(C15="Custom Period",E15&lt;&gt;"",F15&lt;&gt;""),AND(C15="Monthly",LEFT(D15,1)="M"),AND(C15="Quarterly",LEFT(D15,1)="Q"),AND(C15="Half Yearly",LEFT(D15,1)="H"),AND(C15="Annual",D15="AN"))),"OK","CHECK INPUT"))</f>
        <v>OK</v>
      </c>
    </row>
    <row r="16" spans="1:17" x14ac:dyDescent="0.35">
      <c r="A16" s="2">
        <v>5</v>
      </c>
      <c r="B16" s="3" t="s">
        <v>20</v>
      </c>
      <c r="C16" s="4" t="s">
        <v>21</v>
      </c>
      <c r="D16" s="4"/>
      <c r="E16" s="4" t="s">
        <v>103</v>
      </c>
      <c r="F16" s="4" t="s">
        <v>50</v>
      </c>
      <c r="G16" s="4" t="s">
        <v>30</v>
      </c>
      <c r="H16" s="4" t="s">
        <v>25</v>
      </c>
      <c r="I16" s="4" t="s">
        <v>26</v>
      </c>
      <c r="J16" s="5" t="s">
        <v>36</v>
      </c>
      <c r="K16" s="6" t="str">
        <f>IF(C16="Custom Period",IF(OR(E16="C",F16="C"),"C","C"&amp;TEXT(MATCH(E16,Codebook!$H$2:$H$13,0),"00")&amp;TEXT(MATCH(F16,Codebook!$H$2:$H$13,0),"00")),D16)</f>
        <v>C1112</v>
      </c>
      <c r="L16" s="6" t="str">
        <f>IFERROR(INDEX(Codebook!$D$2:$D$50,MATCH(G16,Codebook!$C$2:$C$50,0)),"")</f>
        <v>FS</v>
      </c>
      <c r="M16" s="6" t="str">
        <f>IFERROR(INDEX(Codebook!$F$2:$F$3,MATCH(H16,Codebook!$E$2:$E$3,0)),"")</f>
        <v>V</v>
      </c>
      <c r="N16" s="7" t="str">
        <f t="shared" ref="N16" si="18">IF(OR(B16="",K16="",L16="",M16="",I16="",J16=""),"",RIGHT(B16,2)&amp;K16&amp;"-"&amp;L16&amp;M16&amp;I16&amp;"-"&amp;J16)</f>
        <v>27C1112-FSV1-2345678</v>
      </c>
      <c r="O16" s="6">
        <f t="shared" ref="O16" si="19">IF(N16="","",LEN(N16))</f>
        <v>20</v>
      </c>
      <c r="P16" s="6" t="str">
        <f t="shared" ref="P16" si="20">IF(COUNTA(B16:J16)=0,"",IF(AND(LEFT(B16,3)="FY ",LEN(B16)=10,LEN(I16&amp;"")=1,LEN(J16&amp;"")=7,O16&lt;=20,OR(AND(C16="Custom Period",E16&lt;&gt;"",F16&lt;&gt;""),AND(C16="Monthly",LEFT(D16,1)="M"),AND(C16="Quarterly",LEFT(D16,1)="Q"),AND(C16="Half Yearly",LEFT(D16,1)="H"),AND(C16="Annual",D16="AN"))),"OK","CHECK INPUT"))</f>
        <v>OK</v>
      </c>
    </row>
    <row r="17" spans="1:16" x14ac:dyDescent="0.35">
      <c r="A17" s="2">
        <v>5</v>
      </c>
      <c r="B17" s="3" t="s">
        <v>20</v>
      </c>
      <c r="C17" s="4" t="s">
        <v>21</v>
      </c>
      <c r="D17" s="4"/>
      <c r="E17" s="4" t="s">
        <v>22</v>
      </c>
      <c r="F17" s="4" t="s">
        <v>23</v>
      </c>
      <c r="G17" s="4" t="s">
        <v>30</v>
      </c>
      <c r="H17" s="4" t="s">
        <v>31</v>
      </c>
      <c r="I17" s="4" t="s">
        <v>26</v>
      </c>
      <c r="J17" s="15" t="s">
        <v>183</v>
      </c>
      <c r="K17" s="6" t="str">
        <f>IF(C17="Custom Period",IF(OR(E17="C",F17="C"),"C","C"&amp;TEXT(MATCH(E17,Codebook!$H$2:$H$13,0),"00")&amp;TEXT(MATCH(F17,Codebook!$H$2:$H$13,0),"00")),D17)</f>
        <v>C0908</v>
      </c>
      <c r="L17" s="6" t="str">
        <f>IFERROR(INDEX(Codebook!$D$2:$D$50,MATCH(G17,Codebook!$C$2:$C$50,0)),"")</f>
        <v>FS</v>
      </c>
      <c r="M17" s="6" t="str">
        <f>IFERROR(INDEX(Codebook!$F$2:$F$3,MATCH(H17,Codebook!$E$2:$E$3,0)),"")</f>
        <v>Q</v>
      </c>
      <c r="N17" s="7" t="str">
        <f t="shared" ref="N17" si="21">IF(OR(B17="",K17="",L17="",M17="",I17="",J17=""),"",RIGHT(B17,2)&amp;K17&amp;"-"&amp;L17&amp;M17&amp;I17&amp;"-"&amp;J17)</f>
        <v>27C0908-FSQ1-1000177</v>
      </c>
      <c r="O17" s="6">
        <f t="shared" ref="O17" si="22">IF(N17="","",LEN(N17))</f>
        <v>20</v>
      </c>
      <c r="P17" s="6" t="str">
        <f t="shared" ref="P17" si="23">IF(COUNTA(B17:J17)=0,"",IF(AND(LEFT(B17,3)="FY ",LEN(B17)=10,LEN(I17&amp;"")=1,LEN(J17&amp;"")=7,O17&lt;=20,OR(AND(C17="Custom Period",E17&lt;&gt;"",F17&lt;&gt;""),AND(C17="Monthly",LEFT(D17,1)="M"),AND(C17="Quarterly",LEFT(D17,1)="Q"),AND(C17="Half Yearly",LEFT(D17,1)="H"),AND(C17="Annual",D17="AN"))),"OK","CHECK INPUT"))</f>
        <v>OK</v>
      </c>
    </row>
    <row r="18" spans="1:16" x14ac:dyDescent="0.35">
      <c r="A18" s="2">
        <v>5</v>
      </c>
      <c r="B18" s="3" t="s">
        <v>20</v>
      </c>
      <c r="C18" s="4" t="s">
        <v>28</v>
      </c>
      <c r="D18" s="4" t="s">
        <v>29</v>
      </c>
      <c r="E18" s="4" t="s">
        <v>22</v>
      </c>
      <c r="F18" s="4" t="s">
        <v>23</v>
      </c>
      <c r="G18" s="4" t="s">
        <v>30</v>
      </c>
      <c r="H18" s="4" t="s">
        <v>25</v>
      </c>
      <c r="I18" s="4" t="s">
        <v>26</v>
      </c>
      <c r="J18" s="15" t="s">
        <v>200</v>
      </c>
      <c r="K18" s="6" t="str">
        <f>IF(C18="Custom Period",IF(OR(E18="C",F18="C"),"C","C"&amp;TEXT(MATCH(E18,Codebook!$H$2:$H$13,0),"00")&amp;TEXT(MATCH(F18,Codebook!$H$2:$H$13,0),"00")),D18)</f>
        <v>Q2</v>
      </c>
      <c r="L18" s="6" t="str">
        <f>IFERROR(INDEX(Codebook!$D$2:$D$50,MATCH(G18,Codebook!$C$2:$C$50,0)),"")</f>
        <v>FS</v>
      </c>
      <c r="M18" s="6" t="str">
        <f>IFERROR(INDEX(Codebook!$F$2:$F$3,MATCH(H18,Codebook!$E$2:$E$3,0)),"")</f>
        <v>V</v>
      </c>
      <c r="N18" s="7" t="str">
        <f t="shared" ref="N18" si="24">IF(OR(B18="",K18="",L18="",M18="",I18="",J18=""),"",RIGHT(B18,2)&amp;K18&amp;"-"&amp;L18&amp;M18&amp;I18&amp;"-"&amp;J18)</f>
        <v>27Q2-FSV1-1000675</v>
      </c>
      <c r="O18" s="6">
        <f t="shared" ref="O18" si="25">IF(N18="","",LEN(N18))</f>
        <v>17</v>
      </c>
      <c r="P18" s="6" t="str">
        <f t="shared" ref="P18" si="26">IF(COUNTA(B18:J18)=0,"",IF(AND(LEFT(B18,3)="FY ",LEN(B18)=10,LEN(I18&amp;"")=1,LEN(J18&amp;"")=7,O18&lt;=20,OR(AND(C18="Custom Period",E18&lt;&gt;"",F18&lt;&gt;""),AND(C18="Monthly",LEFT(D18,1)="M"),AND(C18="Quarterly",LEFT(D18,1)="Q"),AND(C18="Half Yearly",LEFT(D18,1)="H"),AND(C18="Annual",D18="AN"))),"OK","CHECK INPUT"))</f>
        <v>OK</v>
      </c>
    </row>
    <row r="19" spans="1:16" x14ac:dyDescent="0.35">
      <c r="A19" s="2">
        <v>12</v>
      </c>
      <c r="B19" s="3" t="s">
        <v>20</v>
      </c>
      <c r="C19" s="4" t="s">
        <v>28</v>
      </c>
      <c r="D19" s="4" t="s">
        <v>59</v>
      </c>
      <c r="E19" s="4"/>
      <c r="F19" s="4"/>
      <c r="G19" s="4"/>
      <c r="H19" s="4"/>
      <c r="I19" s="4"/>
      <c r="J19" s="5"/>
      <c r="K19" s="6" t="str">
        <f>IF(C19="Custom Period",IF(OR(E19="C",F19="C"),"C","C"&amp;TEXT(MATCH(E19,Codebook!$H$2:$H$13,0),"00")&amp;TEXT(MATCH(F19,Codebook!$H$2:$H$13,0),"00")),D19)</f>
        <v>Q3</v>
      </c>
      <c r="L19" s="6" t="str">
        <f>IFERROR(INDEX(Codebook!$D$2:$D$50,MATCH(G19,Codebook!$C$2:$C$50,0)),"")</f>
        <v/>
      </c>
      <c r="M19" s="6" t="str">
        <f>IFERROR(INDEX(Codebook!$F$2:$F$3,MATCH(H19,Codebook!$E$2:$E$3,0)),"")</f>
        <v/>
      </c>
      <c r="N19" s="7" t="str">
        <f t="shared" si="0"/>
        <v/>
      </c>
      <c r="O19" s="6" t="str">
        <f t="shared" si="1"/>
        <v/>
      </c>
      <c r="P19" s="6" t="str">
        <f t="shared" si="2"/>
        <v>CHECK INPUT</v>
      </c>
    </row>
    <row r="20" spans="1:16" x14ac:dyDescent="0.35">
      <c r="A20" s="2">
        <v>13</v>
      </c>
      <c r="B20" s="3"/>
      <c r="C20" s="4"/>
      <c r="D20" s="4"/>
      <c r="E20" s="4"/>
      <c r="F20" s="4"/>
      <c r="G20" s="4"/>
      <c r="H20" s="4"/>
      <c r="I20" s="4"/>
      <c r="J20" s="5"/>
      <c r="K20" s="6">
        <f>IF(C20="Custom Period",IF(OR(E20="C",F20="C"),"C","C"&amp;TEXT(MATCH(E20,Codebook!$H$2:$H$13,0),"00")&amp;TEXT(MATCH(F20,Codebook!$H$2:$H$13,0),"00")),D20)</f>
        <v>0</v>
      </c>
      <c r="L20" s="6" t="str">
        <f>IFERROR(INDEX(Codebook!$D$2:$D$50,MATCH(G20,Codebook!$C$2:$C$50,0)),"")</f>
        <v/>
      </c>
      <c r="M20" s="6" t="str">
        <f>IFERROR(INDEX(Codebook!$F$2:$F$3,MATCH(H20,Codebook!$E$2:$E$3,0)),"")</f>
        <v/>
      </c>
      <c r="N20" s="7" t="str">
        <f t="shared" si="0"/>
        <v/>
      </c>
      <c r="O20" s="6" t="str">
        <f t="shared" si="1"/>
        <v/>
      </c>
      <c r="P20" s="6" t="str">
        <f t="shared" si="2"/>
        <v/>
      </c>
    </row>
    <row r="21" spans="1:16" x14ac:dyDescent="0.35">
      <c r="A21" s="2">
        <v>14</v>
      </c>
      <c r="B21" s="3"/>
      <c r="C21" s="4"/>
      <c r="D21" s="4"/>
      <c r="E21" s="4"/>
      <c r="F21" s="4"/>
      <c r="G21" s="4"/>
      <c r="H21" s="4"/>
      <c r="I21" s="4"/>
      <c r="J21" s="5"/>
      <c r="K21" s="6">
        <f>IF(C21="Custom Period",IF(OR(E21="C",F21="C"),"C","C"&amp;TEXT(MATCH(E21,Codebook!$H$2:$H$13,0),"00")&amp;TEXT(MATCH(F21,Codebook!$H$2:$H$13,0),"00")),D21)</f>
        <v>0</v>
      </c>
      <c r="L21" s="6" t="str">
        <f>IFERROR(INDEX(Codebook!$D$2:$D$50,MATCH(G21,Codebook!$C$2:$C$50,0)),"")</f>
        <v/>
      </c>
      <c r="M21" s="6" t="str">
        <f>IFERROR(INDEX(Codebook!$F$2:$F$3,MATCH(H21,Codebook!$E$2:$E$3,0)),"")</f>
        <v/>
      </c>
      <c r="N21" s="7" t="str">
        <f t="shared" si="0"/>
        <v/>
      </c>
      <c r="O21" s="6" t="str">
        <f t="shared" si="1"/>
        <v/>
      </c>
      <c r="P21" s="6" t="str">
        <f t="shared" si="2"/>
        <v/>
      </c>
    </row>
    <row r="22" spans="1:16" x14ac:dyDescent="0.35">
      <c r="A22" s="2">
        <v>15</v>
      </c>
      <c r="B22" s="3"/>
      <c r="C22" s="4"/>
      <c r="D22" s="4"/>
      <c r="E22" s="4"/>
      <c r="F22" s="4"/>
      <c r="G22" s="4"/>
      <c r="H22" s="4"/>
      <c r="I22" s="4"/>
      <c r="J22" s="5"/>
      <c r="K22" s="6">
        <f>IF(C22="Custom Period",IF(OR(E22="C",F22="C"),"C","C"&amp;TEXT(MATCH(E22,Codebook!$H$2:$H$13,0),"00")&amp;TEXT(MATCH(F22,Codebook!$H$2:$H$13,0),"00")),D22)</f>
        <v>0</v>
      </c>
      <c r="L22" s="6" t="str">
        <f>IFERROR(INDEX(Codebook!$D$2:$D$50,MATCH(G22,Codebook!$C$2:$C$50,0)),"")</f>
        <v/>
      </c>
      <c r="M22" s="6" t="str">
        <f>IFERROR(INDEX(Codebook!$F$2:$F$3,MATCH(H22,Codebook!$E$2:$E$3,0)),"")</f>
        <v/>
      </c>
      <c r="N22" s="7" t="str">
        <f t="shared" si="0"/>
        <v/>
      </c>
      <c r="O22" s="6" t="str">
        <f t="shared" si="1"/>
        <v/>
      </c>
      <c r="P22" s="6" t="str">
        <f t="shared" si="2"/>
        <v/>
      </c>
    </row>
    <row r="23" spans="1:16" x14ac:dyDescent="0.35">
      <c r="A23" s="2">
        <v>16</v>
      </c>
      <c r="B23" s="3"/>
      <c r="C23" s="4"/>
      <c r="D23" s="4"/>
      <c r="E23" s="4"/>
      <c r="F23" s="4"/>
      <c r="G23" s="4"/>
      <c r="H23" s="4"/>
      <c r="I23" s="4"/>
      <c r="J23" s="5"/>
      <c r="K23" s="6">
        <f>IF(C23="Custom Period",IF(OR(E23="C",F23="C"),"C","C"&amp;TEXT(MATCH(E23,Codebook!$H$2:$H$13,0),"00")&amp;TEXT(MATCH(F23,Codebook!$H$2:$H$13,0),"00")),D23)</f>
        <v>0</v>
      </c>
      <c r="L23" s="6" t="str">
        <f>IFERROR(INDEX(Codebook!$D$2:$D$50,MATCH(G23,Codebook!$C$2:$C$50,0)),"")</f>
        <v/>
      </c>
      <c r="M23" s="6" t="str">
        <f>IFERROR(INDEX(Codebook!$F$2:$F$3,MATCH(H23,Codebook!$E$2:$E$3,0)),"")</f>
        <v/>
      </c>
      <c r="N23" s="7" t="str">
        <f t="shared" si="0"/>
        <v/>
      </c>
      <c r="O23" s="6" t="str">
        <f t="shared" si="1"/>
        <v/>
      </c>
      <c r="P23" s="6" t="str">
        <f t="shared" si="2"/>
        <v/>
      </c>
    </row>
    <row r="24" spans="1:16" x14ac:dyDescent="0.35">
      <c r="A24" s="2">
        <v>17</v>
      </c>
      <c r="B24" s="3"/>
      <c r="C24" s="4"/>
      <c r="D24" s="4"/>
      <c r="E24" s="4"/>
      <c r="F24" s="4"/>
      <c r="G24" s="4"/>
      <c r="H24" s="4"/>
      <c r="I24" s="4"/>
      <c r="J24" s="5"/>
      <c r="K24" s="6">
        <f>IF(C24="Custom Period",IF(OR(E24="C",F24="C"),"C","C"&amp;TEXT(MATCH(E24,Codebook!$H$2:$H$13,0),"00")&amp;TEXT(MATCH(F24,Codebook!$H$2:$H$13,0),"00")),D24)</f>
        <v>0</v>
      </c>
      <c r="L24" s="6" t="str">
        <f>IFERROR(INDEX(Codebook!$D$2:$D$50,MATCH(G24,Codebook!$C$2:$C$50,0)),"")</f>
        <v/>
      </c>
      <c r="M24" s="6" t="str">
        <f>IFERROR(INDEX(Codebook!$F$2:$F$3,MATCH(H24,Codebook!$E$2:$E$3,0)),"")</f>
        <v/>
      </c>
      <c r="N24" s="7" t="str">
        <f t="shared" si="0"/>
        <v/>
      </c>
      <c r="O24" s="6" t="str">
        <f t="shared" si="1"/>
        <v/>
      </c>
      <c r="P24" s="6" t="str">
        <f t="shared" si="2"/>
        <v/>
      </c>
    </row>
    <row r="25" spans="1:16" x14ac:dyDescent="0.35">
      <c r="A25" s="2">
        <v>18</v>
      </c>
      <c r="B25" s="3"/>
      <c r="C25" s="4"/>
      <c r="D25" s="4"/>
      <c r="E25" s="4"/>
      <c r="F25" s="4"/>
      <c r="G25" s="4"/>
      <c r="H25" s="4"/>
      <c r="I25" s="4"/>
      <c r="J25" s="5"/>
      <c r="K25" s="6">
        <f>IF(C25="Custom Period",IF(OR(E25="C",F25="C"),"C","C"&amp;TEXT(MATCH(E25,Codebook!$H$2:$H$13,0),"00")&amp;TEXT(MATCH(F25,Codebook!$H$2:$H$13,0),"00")),D25)</f>
        <v>0</v>
      </c>
      <c r="L25" s="6" t="str">
        <f>IFERROR(INDEX(Codebook!$D$2:$D$50,MATCH(G25,Codebook!$C$2:$C$50,0)),"")</f>
        <v/>
      </c>
      <c r="M25" s="6" t="str">
        <f>IFERROR(INDEX(Codebook!$F$2:$F$3,MATCH(H25,Codebook!$E$2:$E$3,0)),"")</f>
        <v/>
      </c>
      <c r="N25" s="7" t="str">
        <f t="shared" si="0"/>
        <v/>
      </c>
      <c r="O25" s="6" t="str">
        <f t="shared" si="1"/>
        <v/>
      </c>
      <c r="P25" s="6" t="str">
        <f t="shared" si="2"/>
        <v/>
      </c>
    </row>
    <row r="26" spans="1:16" x14ac:dyDescent="0.35">
      <c r="A26" s="2">
        <v>19</v>
      </c>
      <c r="B26" s="3"/>
      <c r="C26" s="4"/>
      <c r="D26" s="4"/>
      <c r="E26" s="4"/>
      <c r="F26" s="4"/>
      <c r="G26" s="4"/>
      <c r="H26" s="4"/>
      <c r="I26" s="4"/>
      <c r="J26" s="5"/>
      <c r="K26" s="6">
        <f>IF(C26="Custom Period",IF(OR(E26="C",F26="C"),"C","C"&amp;TEXT(MATCH(E26,Codebook!$H$2:$H$13,0),"00")&amp;TEXT(MATCH(F26,Codebook!$H$2:$H$13,0),"00")),D26)</f>
        <v>0</v>
      </c>
      <c r="L26" s="6" t="str">
        <f>IFERROR(INDEX(Codebook!$D$2:$D$50,MATCH(G26,Codebook!$C$2:$C$50,0)),"")</f>
        <v/>
      </c>
      <c r="M26" s="6" t="str">
        <f>IFERROR(INDEX(Codebook!$F$2:$F$3,MATCH(H26,Codebook!$E$2:$E$3,0)),"")</f>
        <v/>
      </c>
      <c r="N26" s="7" t="str">
        <f t="shared" si="0"/>
        <v/>
      </c>
      <c r="O26" s="6" t="str">
        <f t="shared" si="1"/>
        <v/>
      </c>
      <c r="P26" s="6" t="str">
        <f t="shared" si="2"/>
        <v/>
      </c>
    </row>
    <row r="27" spans="1:16" x14ac:dyDescent="0.35">
      <c r="A27" s="2">
        <v>20</v>
      </c>
      <c r="B27" s="3"/>
      <c r="C27" s="4"/>
      <c r="D27" s="4"/>
      <c r="E27" s="4"/>
      <c r="F27" s="4"/>
      <c r="G27" s="4"/>
      <c r="H27" s="4"/>
      <c r="I27" s="4"/>
      <c r="J27" s="5"/>
      <c r="K27" s="6">
        <f>IF(C27="Custom Period",IF(OR(E27="C",F27="C"),"C","C"&amp;TEXT(MATCH(E27,Codebook!$H$2:$H$13,0),"00")&amp;TEXT(MATCH(F27,Codebook!$H$2:$H$13,0),"00")),D27)</f>
        <v>0</v>
      </c>
      <c r="L27" s="6" t="str">
        <f>IFERROR(INDEX(Codebook!$D$2:$D$50,MATCH(G27,Codebook!$C$2:$C$50,0)),"")</f>
        <v/>
      </c>
      <c r="M27" s="6" t="str">
        <f>IFERROR(INDEX(Codebook!$F$2:$F$3,MATCH(H27,Codebook!$E$2:$E$3,0)),"")</f>
        <v/>
      </c>
      <c r="N27" s="7" t="str">
        <f t="shared" si="0"/>
        <v/>
      </c>
      <c r="O27" s="6" t="str">
        <f t="shared" si="1"/>
        <v/>
      </c>
      <c r="P27" s="6" t="str">
        <f t="shared" si="2"/>
        <v/>
      </c>
    </row>
    <row r="28" spans="1:16" x14ac:dyDescent="0.35">
      <c r="A28" s="2">
        <v>21</v>
      </c>
      <c r="B28" s="3"/>
      <c r="C28" s="4"/>
      <c r="D28" s="4"/>
      <c r="E28" s="4"/>
      <c r="F28" s="4"/>
      <c r="G28" s="4"/>
      <c r="H28" s="4"/>
      <c r="I28" s="4"/>
      <c r="J28" s="5"/>
      <c r="K28" s="6">
        <f>IF(C28="Custom Period",IF(OR(E28="C",F28="C"),"C","C"&amp;TEXT(MATCH(E28,Codebook!$H$2:$H$13,0),"00")&amp;TEXT(MATCH(F28,Codebook!$H$2:$H$13,0),"00")),D28)</f>
        <v>0</v>
      </c>
      <c r="L28" s="6" t="str">
        <f>IFERROR(INDEX(Codebook!$D$2:$D$50,MATCH(G28,Codebook!$C$2:$C$50,0)),"")</f>
        <v/>
      </c>
      <c r="M28" s="6" t="str">
        <f>IFERROR(INDEX(Codebook!$F$2:$F$3,MATCH(H28,Codebook!$E$2:$E$3,0)),"")</f>
        <v/>
      </c>
      <c r="N28" s="7" t="str">
        <f t="shared" si="0"/>
        <v/>
      </c>
      <c r="O28" s="6" t="str">
        <f t="shared" si="1"/>
        <v/>
      </c>
      <c r="P28" s="6" t="str">
        <f t="shared" si="2"/>
        <v/>
      </c>
    </row>
    <row r="29" spans="1:16" x14ac:dyDescent="0.35">
      <c r="A29" s="2">
        <v>22</v>
      </c>
      <c r="B29" s="3"/>
      <c r="C29" s="4"/>
      <c r="D29" s="4"/>
      <c r="E29" s="4"/>
      <c r="F29" s="4"/>
      <c r="G29" s="4"/>
      <c r="H29" s="4"/>
      <c r="I29" s="4"/>
      <c r="J29" s="5"/>
      <c r="K29" s="6">
        <f>IF(C29="Custom Period",IF(OR(E29="C",F29="C"),"C","C"&amp;TEXT(MATCH(E29,Codebook!$H$2:$H$13,0),"00")&amp;TEXT(MATCH(F29,Codebook!$H$2:$H$13,0),"00")),D29)</f>
        <v>0</v>
      </c>
      <c r="L29" s="6" t="str">
        <f>IFERROR(INDEX(Codebook!$D$2:$D$50,MATCH(G29,Codebook!$C$2:$C$50,0)),"")</f>
        <v/>
      </c>
      <c r="M29" s="6" t="str">
        <f>IFERROR(INDEX(Codebook!$F$2:$F$3,MATCH(H29,Codebook!$E$2:$E$3,0)),"")</f>
        <v/>
      </c>
      <c r="N29" s="7" t="str">
        <f t="shared" si="0"/>
        <v/>
      </c>
      <c r="O29" s="6" t="str">
        <f t="shared" si="1"/>
        <v/>
      </c>
      <c r="P29" s="6" t="str">
        <f t="shared" si="2"/>
        <v/>
      </c>
    </row>
    <row r="30" spans="1:16" x14ac:dyDescent="0.35">
      <c r="A30" s="2">
        <v>23</v>
      </c>
      <c r="B30" s="3"/>
      <c r="C30" s="4"/>
      <c r="D30" s="4"/>
      <c r="E30" s="4"/>
      <c r="F30" s="4"/>
      <c r="G30" s="4"/>
      <c r="H30" s="4"/>
      <c r="I30" s="4"/>
      <c r="J30" s="5"/>
      <c r="K30" s="6">
        <f>IF(C30="Custom Period",IF(OR(E30="C",F30="C"),"C","C"&amp;TEXT(MATCH(E30,Codebook!$H$2:$H$13,0),"00")&amp;TEXT(MATCH(F30,Codebook!$H$2:$H$13,0),"00")),D30)</f>
        <v>0</v>
      </c>
      <c r="L30" s="6" t="str">
        <f>IFERROR(INDEX(Codebook!$D$2:$D$50,MATCH(G30,Codebook!$C$2:$C$50,0)),"")</f>
        <v/>
      </c>
      <c r="M30" s="6" t="str">
        <f>IFERROR(INDEX(Codebook!$F$2:$F$3,MATCH(H30,Codebook!$E$2:$E$3,0)),"")</f>
        <v/>
      </c>
      <c r="N30" s="7" t="str">
        <f t="shared" si="0"/>
        <v/>
      </c>
      <c r="O30" s="6" t="str">
        <f t="shared" si="1"/>
        <v/>
      </c>
      <c r="P30" s="6" t="str">
        <f t="shared" si="2"/>
        <v/>
      </c>
    </row>
    <row r="31" spans="1:16" x14ac:dyDescent="0.35">
      <c r="A31" s="2">
        <v>24</v>
      </c>
      <c r="B31" s="3"/>
      <c r="C31" s="4"/>
      <c r="D31" s="4"/>
      <c r="E31" s="4"/>
      <c r="F31" s="4"/>
      <c r="G31" s="4"/>
      <c r="H31" s="4"/>
      <c r="I31" s="4"/>
      <c r="J31" s="5"/>
      <c r="K31" s="6">
        <f>IF(C31="Custom Period",IF(OR(E31="C",F31="C"),"C","C"&amp;TEXT(MATCH(E31,Codebook!$H$2:$H$13,0),"00")&amp;TEXT(MATCH(F31,Codebook!$H$2:$H$13,0),"00")),D31)</f>
        <v>0</v>
      </c>
      <c r="L31" s="6" t="str">
        <f>IFERROR(INDEX(Codebook!$D$2:$D$50,MATCH(G31,Codebook!$C$2:$C$50,0)),"")</f>
        <v/>
      </c>
      <c r="M31" s="6" t="str">
        <f>IFERROR(INDEX(Codebook!$F$2:$F$3,MATCH(H31,Codebook!$E$2:$E$3,0)),"")</f>
        <v/>
      </c>
      <c r="N31" s="7" t="str">
        <f t="shared" si="0"/>
        <v/>
      </c>
      <c r="O31" s="6" t="str">
        <f t="shared" si="1"/>
        <v/>
      </c>
      <c r="P31" s="6" t="str">
        <f t="shared" si="2"/>
        <v/>
      </c>
    </row>
    <row r="32" spans="1:16" x14ac:dyDescent="0.35">
      <c r="A32" s="2">
        <v>25</v>
      </c>
      <c r="B32" s="3"/>
      <c r="C32" s="4"/>
      <c r="D32" s="4"/>
      <c r="E32" s="4"/>
      <c r="F32" s="4"/>
      <c r="G32" s="4"/>
      <c r="H32" s="4"/>
      <c r="I32" s="4"/>
      <c r="J32" s="5"/>
      <c r="K32" s="6">
        <f>IF(C32="Custom Period",IF(OR(E32="C",F32="C"),"C","C"&amp;TEXT(MATCH(E32,Codebook!$H$2:$H$13,0),"00")&amp;TEXT(MATCH(F32,Codebook!$H$2:$H$13,0),"00")),D32)</f>
        <v>0</v>
      </c>
      <c r="L32" s="6" t="str">
        <f>IFERROR(INDEX(Codebook!$D$2:$D$50,MATCH(G32,Codebook!$C$2:$C$50,0)),"")</f>
        <v/>
      </c>
      <c r="M32" s="6" t="str">
        <f>IFERROR(INDEX(Codebook!$F$2:$F$3,MATCH(H32,Codebook!$E$2:$E$3,0)),"")</f>
        <v/>
      </c>
      <c r="N32" s="7" t="str">
        <f t="shared" si="0"/>
        <v/>
      </c>
      <c r="O32" s="6" t="str">
        <f t="shared" si="1"/>
        <v/>
      </c>
      <c r="P32" s="6" t="str">
        <f t="shared" si="2"/>
        <v/>
      </c>
    </row>
    <row r="33" spans="1:16" x14ac:dyDescent="0.35">
      <c r="A33" s="2">
        <v>26</v>
      </c>
      <c r="B33" s="3"/>
      <c r="C33" s="4"/>
      <c r="D33" s="4"/>
      <c r="E33" s="4"/>
      <c r="F33" s="4"/>
      <c r="G33" s="4"/>
      <c r="H33" s="4"/>
      <c r="I33" s="4"/>
      <c r="J33" s="5"/>
      <c r="K33" s="6">
        <f>IF(C33="Custom Period",IF(OR(E33="C",F33="C"),"C","C"&amp;TEXT(MATCH(E33,Codebook!$H$2:$H$13,0),"00")&amp;TEXT(MATCH(F33,Codebook!$H$2:$H$13,0),"00")),D33)</f>
        <v>0</v>
      </c>
      <c r="L33" s="6" t="str">
        <f>IFERROR(INDEX(Codebook!$D$2:$D$50,MATCH(G33,Codebook!$C$2:$C$50,0)),"")</f>
        <v/>
      </c>
      <c r="M33" s="6" t="str">
        <f>IFERROR(INDEX(Codebook!$F$2:$F$3,MATCH(H33,Codebook!$E$2:$E$3,0)),"")</f>
        <v/>
      </c>
      <c r="N33" s="7" t="str">
        <f t="shared" si="0"/>
        <v/>
      </c>
      <c r="O33" s="6" t="str">
        <f t="shared" si="1"/>
        <v/>
      </c>
      <c r="P33" s="6" t="str">
        <f t="shared" si="2"/>
        <v/>
      </c>
    </row>
    <row r="34" spans="1:16" x14ac:dyDescent="0.35">
      <c r="A34" s="2">
        <v>27</v>
      </c>
      <c r="B34" s="3"/>
      <c r="C34" s="4"/>
      <c r="D34" s="4"/>
      <c r="E34" s="4"/>
      <c r="F34" s="4"/>
      <c r="G34" s="4"/>
      <c r="H34" s="4"/>
      <c r="I34" s="4"/>
      <c r="J34" s="5"/>
      <c r="K34" s="6">
        <f>IF(C34="Custom Period",IF(OR(E34="C",F34="C"),"C","C"&amp;TEXT(MATCH(E34,Codebook!$H$2:$H$13,0),"00")&amp;TEXT(MATCH(F34,Codebook!$H$2:$H$13,0),"00")),D34)</f>
        <v>0</v>
      </c>
      <c r="L34" s="6" t="str">
        <f>IFERROR(INDEX(Codebook!$D$2:$D$50,MATCH(G34,Codebook!$C$2:$C$50,0)),"")</f>
        <v/>
      </c>
      <c r="M34" s="6" t="str">
        <f>IFERROR(INDEX(Codebook!$F$2:$F$3,MATCH(H34,Codebook!$E$2:$E$3,0)),"")</f>
        <v/>
      </c>
      <c r="N34" s="7" t="str">
        <f t="shared" si="0"/>
        <v/>
      </c>
      <c r="O34" s="6" t="str">
        <f t="shared" si="1"/>
        <v/>
      </c>
      <c r="P34" s="6" t="str">
        <f t="shared" si="2"/>
        <v/>
      </c>
    </row>
    <row r="35" spans="1:16" x14ac:dyDescent="0.35">
      <c r="A35" s="2">
        <v>28</v>
      </c>
      <c r="B35" s="3"/>
      <c r="C35" s="4"/>
      <c r="D35" s="4"/>
      <c r="E35" s="4"/>
      <c r="F35" s="4"/>
      <c r="G35" s="4"/>
      <c r="H35" s="4"/>
      <c r="I35" s="4"/>
      <c r="J35" s="5"/>
      <c r="K35" s="6">
        <f>IF(C35="Custom Period",IF(OR(E35="C",F35="C"),"C","C"&amp;TEXT(MATCH(E35,Codebook!$H$2:$H$13,0),"00")&amp;TEXT(MATCH(F35,Codebook!$H$2:$H$13,0),"00")),D35)</f>
        <v>0</v>
      </c>
      <c r="L35" s="6" t="str">
        <f>IFERROR(INDEX(Codebook!$D$2:$D$50,MATCH(G35,Codebook!$C$2:$C$50,0)),"")</f>
        <v/>
      </c>
      <c r="M35" s="6" t="str">
        <f>IFERROR(INDEX(Codebook!$F$2:$F$3,MATCH(H35,Codebook!$E$2:$E$3,0)),"")</f>
        <v/>
      </c>
      <c r="N35" s="7" t="str">
        <f t="shared" si="0"/>
        <v/>
      </c>
      <c r="O35" s="6" t="str">
        <f t="shared" si="1"/>
        <v/>
      </c>
      <c r="P35" s="6" t="str">
        <f t="shared" si="2"/>
        <v/>
      </c>
    </row>
    <row r="36" spans="1:16" x14ac:dyDescent="0.35">
      <c r="A36" s="2">
        <v>29</v>
      </c>
      <c r="B36" s="3"/>
      <c r="C36" s="4"/>
      <c r="D36" s="4"/>
      <c r="E36" s="4"/>
      <c r="F36" s="4"/>
      <c r="G36" s="4"/>
      <c r="H36" s="4"/>
      <c r="I36" s="4"/>
      <c r="J36" s="5"/>
      <c r="K36" s="6">
        <f>IF(C36="Custom Period",IF(OR(E36="C",F36="C"),"C","C"&amp;TEXT(MATCH(E36,Codebook!$H$2:$H$13,0),"00")&amp;TEXT(MATCH(F36,Codebook!$H$2:$H$13,0),"00")),D36)</f>
        <v>0</v>
      </c>
      <c r="L36" s="6" t="str">
        <f>IFERROR(INDEX(Codebook!$D$2:$D$50,MATCH(G36,Codebook!$C$2:$C$50,0)),"")</f>
        <v/>
      </c>
      <c r="M36" s="6" t="str">
        <f>IFERROR(INDEX(Codebook!$F$2:$F$3,MATCH(H36,Codebook!$E$2:$E$3,0)),"")</f>
        <v/>
      </c>
      <c r="N36" s="7" t="str">
        <f t="shared" si="0"/>
        <v/>
      </c>
      <c r="O36" s="6" t="str">
        <f t="shared" si="1"/>
        <v/>
      </c>
      <c r="P36" s="6" t="str">
        <f t="shared" si="2"/>
        <v/>
      </c>
    </row>
    <row r="37" spans="1:16" x14ac:dyDescent="0.35">
      <c r="A37" s="2">
        <v>30</v>
      </c>
      <c r="B37" s="3"/>
      <c r="C37" s="4"/>
      <c r="D37" s="4"/>
      <c r="E37" s="4"/>
      <c r="F37" s="4"/>
      <c r="G37" s="4"/>
      <c r="H37" s="4"/>
      <c r="I37" s="4"/>
      <c r="J37" s="5"/>
      <c r="K37" s="6">
        <f>IF(C37="Custom Period",IF(OR(E37="C",F37="C"),"C","C"&amp;TEXT(MATCH(E37,Codebook!$H$2:$H$13,0),"00")&amp;TEXT(MATCH(F37,Codebook!$H$2:$H$13,0),"00")),D37)</f>
        <v>0</v>
      </c>
      <c r="L37" s="6" t="str">
        <f>IFERROR(INDEX(Codebook!$D$2:$D$50,MATCH(G37,Codebook!$C$2:$C$50,0)),"")</f>
        <v/>
      </c>
      <c r="M37" s="6" t="str">
        <f>IFERROR(INDEX(Codebook!$F$2:$F$3,MATCH(H37,Codebook!$E$2:$E$3,0)),"")</f>
        <v/>
      </c>
      <c r="N37" s="7" t="str">
        <f t="shared" si="0"/>
        <v/>
      </c>
      <c r="O37" s="6" t="str">
        <f t="shared" si="1"/>
        <v/>
      </c>
      <c r="P37" s="6" t="str">
        <f t="shared" si="2"/>
        <v/>
      </c>
    </row>
    <row r="38" spans="1:16" x14ac:dyDescent="0.35">
      <c r="A38" s="2">
        <v>31</v>
      </c>
      <c r="B38" s="3"/>
      <c r="C38" s="4"/>
      <c r="D38" s="4"/>
      <c r="E38" s="4"/>
      <c r="F38" s="4"/>
      <c r="G38" s="4"/>
      <c r="H38" s="4"/>
      <c r="I38" s="4"/>
      <c r="J38" s="5"/>
      <c r="K38" s="6">
        <f>IF(C38="Custom Period",IF(OR(E38="C",F38="C"),"C","C"&amp;TEXT(MATCH(E38,Codebook!$H$2:$H$13,0),"00")&amp;TEXT(MATCH(F38,Codebook!$H$2:$H$13,0),"00")),D38)</f>
        <v>0</v>
      </c>
      <c r="L38" s="6" t="str">
        <f>IFERROR(INDEX(Codebook!$D$2:$D$50,MATCH(G38,Codebook!$C$2:$C$50,0)),"")</f>
        <v/>
      </c>
      <c r="M38" s="6" t="str">
        <f>IFERROR(INDEX(Codebook!$F$2:$F$3,MATCH(H38,Codebook!$E$2:$E$3,0)),"")</f>
        <v/>
      </c>
      <c r="N38" s="7" t="str">
        <f t="shared" si="0"/>
        <v/>
      </c>
      <c r="O38" s="6" t="str">
        <f t="shared" si="1"/>
        <v/>
      </c>
      <c r="P38" s="6" t="str">
        <f t="shared" si="2"/>
        <v/>
      </c>
    </row>
    <row r="39" spans="1:16" x14ac:dyDescent="0.35">
      <c r="A39" s="2">
        <v>32</v>
      </c>
      <c r="B39" s="3"/>
      <c r="C39" s="4"/>
      <c r="D39" s="4"/>
      <c r="E39" s="4"/>
      <c r="F39" s="4"/>
      <c r="G39" s="4"/>
      <c r="H39" s="4"/>
      <c r="I39" s="4"/>
      <c r="J39" s="5"/>
      <c r="K39" s="6">
        <f>IF(C39="Custom Period",IF(OR(E39="C",F39="C"),"C","C"&amp;TEXT(MATCH(E39,Codebook!$H$2:$H$13,0),"00")&amp;TEXT(MATCH(F39,Codebook!$H$2:$H$13,0),"00")),D39)</f>
        <v>0</v>
      </c>
      <c r="L39" s="6" t="str">
        <f>IFERROR(INDEX(Codebook!$D$2:$D$50,MATCH(G39,Codebook!$C$2:$C$50,0)),"")</f>
        <v/>
      </c>
      <c r="M39" s="6" t="str">
        <f>IFERROR(INDEX(Codebook!$F$2:$F$3,MATCH(H39,Codebook!$E$2:$E$3,0)),"")</f>
        <v/>
      </c>
      <c r="N39" s="7" t="str">
        <f t="shared" si="0"/>
        <v/>
      </c>
      <c r="O39" s="6" t="str">
        <f t="shared" si="1"/>
        <v/>
      </c>
      <c r="P39" s="6" t="str">
        <f t="shared" si="2"/>
        <v/>
      </c>
    </row>
    <row r="40" spans="1:16" x14ac:dyDescent="0.35">
      <c r="A40" s="2">
        <v>33</v>
      </c>
      <c r="B40" s="3"/>
      <c r="C40" s="4"/>
      <c r="D40" s="4"/>
      <c r="E40" s="4"/>
      <c r="F40" s="4"/>
      <c r="G40" s="4"/>
      <c r="H40" s="4"/>
      <c r="I40" s="4"/>
      <c r="J40" s="5"/>
      <c r="K40" s="6">
        <f>IF(C40="Custom Period",IF(OR(E40="C",F40="C"),"C","C"&amp;TEXT(MATCH(E40,Codebook!$H$2:$H$13,0),"00")&amp;TEXT(MATCH(F40,Codebook!$H$2:$H$13,0),"00")),D40)</f>
        <v>0</v>
      </c>
      <c r="L40" s="6" t="str">
        <f>IFERROR(INDEX(Codebook!$D$2:$D$50,MATCH(G40,Codebook!$C$2:$C$50,0)),"")</f>
        <v/>
      </c>
      <c r="M40" s="6" t="str">
        <f>IFERROR(INDEX(Codebook!$F$2:$F$3,MATCH(H40,Codebook!$E$2:$E$3,0)),"")</f>
        <v/>
      </c>
      <c r="N40" s="7" t="str">
        <f t="shared" ref="N40:N71" si="27">IF(OR(B40="",K40="",L40="",M40="",I40="",J40=""),"",RIGHT(B40,2)&amp;K40&amp;"-"&amp;L40&amp;M40&amp;I40&amp;"-"&amp;J40)</f>
        <v/>
      </c>
      <c r="O40" s="6" t="str">
        <f t="shared" ref="O40:O71" si="28">IF(N40="","",LEN(N40))</f>
        <v/>
      </c>
      <c r="P40" s="6" t="str">
        <f t="shared" ref="P40:P71" si="29">IF(COUNTA(B40:J40)=0,"",IF(AND(LEFT(B40,3)="FY ",LEN(B40)=10,LEN(I40&amp;"")=1,LEN(J40&amp;"")=7,O40&lt;=20,OR(AND(C40="Custom Period",E40&lt;&gt;"",F40&lt;&gt;""),AND(C40="Monthly",LEFT(D40,1)="M"),AND(C40="Quarterly",LEFT(D40,1)="Q"),AND(C40="Half Yearly",LEFT(D40,1)="H"),AND(C40="Annual",D40="AN"))),"OK","CHECK INPUT"))</f>
        <v/>
      </c>
    </row>
    <row r="41" spans="1:16" x14ac:dyDescent="0.35">
      <c r="A41" s="2">
        <v>34</v>
      </c>
      <c r="B41" s="3"/>
      <c r="C41" s="4"/>
      <c r="D41" s="4"/>
      <c r="E41" s="4"/>
      <c r="F41" s="4"/>
      <c r="G41" s="4"/>
      <c r="H41" s="4"/>
      <c r="I41" s="4"/>
      <c r="J41" s="5"/>
      <c r="K41" s="6">
        <f>IF(C41="Custom Period",IF(OR(E41="C",F41="C"),"C","C"&amp;TEXT(MATCH(E41,Codebook!$H$2:$H$13,0),"00")&amp;TEXT(MATCH(F41,Codebook!$H$2:$H$13,0),"00")),D41)</f>
        <v>0</v>
      </c>
      <c r="L41" s="6" t="str">
        <f>IFERROR(INDEX(Codebook!$D$2:$D$50,MATCH(G41,Codebook!$C$2:$C$50,0)),"")</f>
        <v/>
      </c>
      <c r="M41" s="6" t="str">
        <f>IFERROR(INDEX(Codebook!$F$2:$F$3,MATCH(H41,Codebook!$E$2:$E$3,0)),"")</f>
        <v/>
      </c>
      <c r="N41" s="7" t="str">
        <f t="shared" si="27"/>
        <v/>
      </c>
      <c r="O41" s="6" t="str">
        <f t="shared" si="28"/>
        <v/>
      </c>
      <c r="P41" s="6" t="str">
        <f t="shared" si="29"/>
        <v/>
      </c>
    </row>
    <row r="42" spans="1:16" x14ac:dyDescent="0.35">
      <c r="A42" s="2">
        <v>35</v>
      </c>
      <c r="B42" s="3"/>
      <c r="C42" s="4"/>
      <c r="D42" s="4"/>
      <c r="E42" s="4"/>
      <c r="F42" s="4"/>
      <c r="G42" s="4"/>
      <c r="H42" s="4"/>
      <c r="I42" s="4"/>
      <c r="J42" s="5"/>
      <c r="K42" s="6">
        <f>IF(C42="Custom Period",IF(OR(E42="C",F42="C"),"C","C"&amp;TEXT(MATCH(E42,Codebook!$H$2:$H$13,0),"00")&amp;TEXT(MATCH(F42,Codebook!$H$2:$H$13,0),"00")),D42)</f>
        <v>0</v>
      </c>
      <c r="L42" s="6" t="str">
        <f>IFERROR(INDEX(Codebook!$D$2:$D$50,MATCH(G42,Codebook!$C$2:$C$50,0)),"")</f>
        <v/>
      </c>
      <c r="M42" s="6" t="str">
        <f>IFERROR(INDEX(Codebook!$F$2:$F$3,MATCH(H42,Codebook!$E$2:$E$3,0)),"")</f>
        <v/>
      </c>
      <c r="N42" s="7" t="str">
        <f t="shared" si="27"/>
        <v/>
      </c>
      <c r="O42" s="6" t="str">
        <f t="shared" si="28"/>
        <v/>
      </c>
      <c r="P42" s="6" t="str">
        <f t="shared" si="29"/>
        <v/>
      </c>
    </row>
    <row r="43" spans="1:16" x14ac:dyDescent="0.35">
      <c r="A43" s="2">
        <v>36</v>
      </c>
      <c r="B43" s="3"/>
      <c r="C43" s="4"/>
      <c r="D43" s="4"/>
      <c r="E43" s="4"/>
      <c r="F43" s="4"/>
      <c r="G43" s="4"/>
      <c r="H43" s="4"/>
      <c r="I43" s="4"/>
      <c r="J43" s="5"/>
      <c r="K43" s="6">
        <f>IF(C43="Custom Period",IF(OR(E43="C",F43="C"),"C","C"&amp;TEXT(MATCH(E43,Codebook!$H$2:$H$13,0),"00")&amp;TEXT(MATCH(F43,Codebook!$H$2:$H$13,0),"00")),D43)</f>
        <v>0</v>
      </c>
      <c r="L43" s="6" t="str">
        <f>IFERROR(INDEX(Codebook!$D$2:$D$50,MATCH(G43,Codebook!$C$2:$C$50,0)),"")</f>
        <v/>
      </c>
      <c r="M43" s="6" t="str">
        <f>IFERROR(INDEX(Codebook!$F$2:$F$3,MATCH(H43,Codebook!$E$2:$E$3,0)),"")</f>
        <v/>
      </c>
      <c r="N43" s="7" t="str">
        <f t="shared" si="27"/>
        <v/>
      </c>
      <c r="O43" s="6" t="str">
        <f t="shared" si="28"/>
        <v/>
      </c>
      <c r="P43" s="6" t="str">
        <f t="shared" si="29"/>
        <v/>
      </c>
    </row>
    <row r="44" spans="1:16" x14ac:dyDescent="0.35">
      <c r="A44" s="2">
        <v>37</v>
      </c>
      <c r="B44" s="3"/>
      <c r="C44" s="4"/>
      <c r="D44" s="4"/>
      <c r="E44" s="4"/>
      <c r="F44" s="4"/>
      <c r="G44" s="4"/>
      <c r="H44" s="4"/>
      <c r="I44" s="4"/>
      <c r="J44" s="5"/>
      <c r="K44" s="6">
        <f>IF(C44="Custom Period",IF(OR(E44="C",F44="C"),"C","C"&amp;TEXT(MATCH(E44,Codebook!$H$2:$H$13,0),"00")&amp;TEXT(MATCH(F44,Codebook!$H$2:$H$13,0),"00")),D44)</f>
        <v>0</v>
      </c>
      <c r="L44" s="6" t="str">
        <f>IFERROR(INDEX(Codebook!$D$2:$D$50,MATCH(G44,Codebook!$C$2:$C$50,0)),"")</f>
        <v/>
      </c>
      <c r="M44" s="6" t="str">
        <f>IFERROR(INDEX(Codebook!$F$2:$F$3,MATCH(H44,Codebook!$E$2:$E$3,0)),"")</f>
        <v/>
      </c>
      <c r="N44" s="7" t="str">
        <f t="shared" si="27"/>
        <v/>
      </c>
      <c r="O44" s="6" t="str">
        <f t="shared" si="28"/>
        <v/>
      </c>
      <c r="P44" s="6" t="str">
        <f t="shared" si="29"/>
        <v/>
      </c>
    </row>
    <row r="45" spans="1:16" x14ac:dyDescent="0.35">
      <c r="A45" s="2">
        <v>38</v>
      </c>
      <c r="B45" s="3"/>
      <c r="C45" s="4"/>
      <c r="D45" s="4"/>
      <c r="E45" s="4"/>
      <c r="F45" s="4"/>
      <c r="G45" s="4"/>
      <c r="H45" s="4"/>
      <c r="I45" s="4"/>
      <c r="J45" s="5"/>
      <c r="K45" s="6">
        <f>IF(C45="Custom Period",IF(OR(E45="C",F45="C"),"C","C"&amp;TEXT(MATCH(E45,Codebook!$H$2:$H$13,0),"00")&amp;TEXT(MATCH(F45,Codebook!$H$2:$H$13,0),"00")),D45)</f>
        <v>0</v>
      </c>
      <c r="L45" s="6" t="str">
        <f>IFERROR(INDEX(Codebook!$D$2:$D$50,MATCH(G45,Codebook!$C$2:$C$50,0)),"")</f>
        <v/>
      </c>
      <c r="M45" s="6" t="str">
        <f>IFERROR(INDEX(Codebook!$F$2:$F$3,MATCH(H45,Codebook!$E$2:$E$3,0)),"")</f>
        <v/>
      </c>
      <c r="N45" s="7" t="str">
        <f t="shared" si="27"/>
        <v/>
      </c>
      <c r="O45" s="6" t="str">
        <f t="shared" si="28"/>
        <v/>
      </c>
      <c r="P45" s="6" t="str">
        <f t="shared" si="29"/>
        <v/>
      </c>
    </row>
    <row r="46" spans="1:16" x14ac:dyDescent="0.35">
      <c r="A46" s="2">
        <v>39</v>
      </c>
      <c r="B46" s="3"/>
      <c r="C46" s="4"/>
      <c r="D46" s="4"/>
      <c r="E46" s="4"/>
      <c r="F46" s="4"/>
      <c r="G46" s="4"/>
      <c r="H46" s="4"/>
      <c r="I46" s="4"/>
      <c r="J46" s="5"/>
      <c r="K46" s="6">
        <f>IF(C46="Custom Period",IF(OR(E46="C",F46="C"),"C","C"&amp;TEXT(MATCH(E46,Codebook!$H$2:$H$13,0),"00")&amp;TEXT(MATCH(F46,Codebook!$H$2:$H$13,0),"00")),D46)</f>
        <v>0</v>
      </c>
      <c r="L46" s="6" t="str">
        <f>IFERROR(INDEX(Codebook!$D$2:$D$50,MATCH(G46,Codebook!$C$2:$C$50,0)),"")</f>
        <v/>
      </c>
      <c r="M46" s="6" t="str">
        <f>IFERROR(INDEX(Codebook!$F$2:$F$3,MATCH(H46,Codebook!$E$2:$E$3,0)),"")</f>
        <v/>
      </c>
      <c r="N46" s="7" t="str">
        <f t="shared" si="27"/>
        <v/>
      </c>
      <c r="O46" s="6" t="str">
        <f t="shared" si="28"/>
        <v/>
      </c>
      <c r="P46" s="6" t="str">
        <f t="shared" si="29"/>
        <v/>
      </c>
    </row>
    <row r="47" spans="1:16" x14ac:dyDescent="0.35">
      <c r="A47" s="2">
        <v>40</v>
      </c>
      <c r="B47" s="3"/>
      <c r="C47" s="4"/>
      <c r="D47" s="4"/>
      <c r="E47" s="4"/>
      <c r="F47" s="4"/>
      <c r="G47" s="4"/>
      <c r="H47" s="4"/>
      <c r="I47" s="4"/>
      <c r="J47" s="5"/>
      <c r="K47" s="6">
        <f>IF(C47="Custom Period",IF(OR(E47="C",F47="C"),"C","C"&amp;TEXT(MATCH(E47,Codebook!$H$2:$H$13,0),"00")&amp;TEXT(MATCH(F47,Codebook!$H$2:$H$13,0),"00")),D47)</f>
        <v>0</v>
      </c>
      <c r="L47" s="6" t="str">
        <f>IFERROR(INDEX(Codebook!$D$2:$D$50,MATCH(G47,Codebook!$C$2:$C$50,0)),"")</f>
        <v/>
      </c>
      <c r="M47" s="6" t="str">
        <f>IFERROR(INDEX(Codebook!$F$2:$F$3,MATCH(H47,Codebook!$E$2:$E$3,0)),"")</f>
        <v/>
      </c>
      <c r="N47" s="7" t="str">
        <f t="shared" si="27"/>
        <v/>
      </c>
      <c r="O47" s="6" t="str">
        <f t="shared" si="28"/>
        <v/>
      </c>
      <c r="P47" s="6" t="str">
        <f t="shared" si="29"/>
        <v/>
      </c>
    </row>
    <row r="48" spans="1:16" x14ac:dyDescent="0.35">
      <c r="A48" s="2">
        <v>41</v>
      </c>
      <c r="B48" s="3"/>
      <c r="C48" s="4"/>
      <c r="D48" s="4"/>
      <c r="E48" s="4"/>
      <c r="F48" s="4"/>
      <c r="G48" s="4"/>
      <c r="H48" s="4"/>
      <c r="I48" s="4"/>
      <c r="J48" s="5"/>
      <c r="K48" s="6">
        <f>IF(C48="Custom Period",IF(OR(E48="C",F48="C"),"C","C"&amp;TEXT(MATCH(E48,Codebook!$H$2:$H$13,0),"00")&amp;TEXT(MATCH(F48,Codebook!$H$2:$H$13,0),"00")),D48)</f>
        <v>0</v>
      </c>
      <c r="L48" s="6" t="str">
        <f>IFERROR(INDEX(Codebook!$D$2:$D$50,MATCH(G48,Codebook!$C$2:$C$50,0)),"")</f>
        <v/>
      </c>
      <c r="M48" s="6" t="str">
        <f>IFERROR(INDEX(Codebook!$F$2:$F$3,MATCH(H48,Codebook!$E$2:$E$3,0)),"")</f>
        <v/>
      </c>
      <c r="N48" s="7" t="str">
        <f t="shared" si="27"/>
        <v/>
      </c>
      <c r="O48" s="6" t="str">
        <f t="shared" si="28"/>
        <v/>
      </c>
      <c r="P48" s="6" t="str">
        <f t="shared" si="29"/>
        <v/>
      </c>
    </row>
    <row r="49" spans="1:16" x14ac:dyDescent="0.35">
      <c r="A49" s="2">
        <v>42</v>
      </c>
      <c r="B49" s="3"/>
      <c r="C49" s="4"/>
      <c r="D49" s="4"/>
      <c r="E49" s="4"/>
      <c r="F49" s="4"/>
      <c r="G49" s="4"/>
      <c r="H49" s="4"/>
      <c r="I49" s="4"/>
      <c r="J49" s="5"/>
      <c r="K49" s="6">
        <f>IF(C49="Custom Period",IF(OR(E49="C",F49="C"),"C","C"&amp;TEXT(MATCH(E49,Codebook!$H$2:$H$13,0),"00")&amp;TEXT(MATCH(F49,Codebook!$H$2:$H$13,0),"00")),D49)</f>
        <v>0</v>
      </c>
      <c r="L49" s="6" t="str">
        <f>IFERROR(INDEX(Codebook!$D$2:$D$50,MATCH(G49,Codebook!$C$2:$C$50,0)),"")</f>
        <v/>
      </c>
      <c r="M49" s="6" t="str">
        <f>IFERROR(INDEX(Codebook!$F$2:$F$3,MATCH(H49,Codebook!$E$2:$E$3,0)),"")</f>
        <v/>
      </c>
      <c r="N49" s="7" t="str">
        <f t="shared" si="27"/>
        <v/>
      </c>
      <c r="O49" s="6" t="str">
        <f t="shared" si="28"/>
        <v/>
      </c>
      <c r="P49" s="6" t="str">
        <f t="shared" si="29"/>
        <v/>
      </c>
    </row>
    <row r="50" spans="1:16" x14ac:dyDescent="0.35">
      <c r="A50" s="2">
        <v>43</v>
      </c>
      <c r="B50" s="3"/>
      <c r="C50" s="4"/>
      <c r="D50" s="4"/>
      <c r="E50" s="4"/>
      <c r="F50" s="4"/>
      <c r="G50" s="4"/>
      <c r="H50" s="4"/>
      <c r="I50" s="4"/>
      <c r="J50" s="5"/>
      <c r="K50" s="6">
        <f>IF(C50="Custom Period",IF(OR(E50="C",F50="C"),"C","C"&amp;TEXT(MATCH(E50,Codebook!$H$2:$H$13,0),"00")&amp;TEXT(MATCH(F50,Codebook!$H$2:$H$13,0),"00")),D50)</f>
        <v>0</v>
      </c>
      <c r="L50" s="6" t="str">
        <f>IFERROR(INDEX(Codebook!$D$2:$D$50,MATCH(G50,Codebook!$C$2:$C$50,0)),"")</f>
        <v/>
      </c>
      <c r="M50" s="6" t="str">
        <f>IFERROR(INDEX(Codebook!$F$2:$F$3,MATCH(H50,Codebook!$E$2:$E$3,0)),"")</f>
        <v/>
      </c>
      <c r="N50" s="7" t="str">
        <f t="shared" si="27"/>
        <v/>
      </c>
      <c r="O50" s="6" t="str">
        <f t="shared" si="28"/>
        <v/>
      </c>
      <c r="P50" s="6" t="str">
        <f t="shared" si="29"/>
        <v/>
      </c>
    </row>
    <row r="51" spans="1:16" x14ac:dyDescent="0.35">
      <c r="A51" s="2">
        <v>44</v>
      </c>
      <c r="B51" s="3"/>
      <c r="C51" s="4"/>
      <c r="D51" s="4"/>
      <c r="E51" s="4"/>
      <c r="F51" s="4"/>
      <c r="G51" s="4"/>
      <c r="H51" s="4"/>
      <c r="I51" s="4"/>
      <c r="J51" s="5"/>
      <c r="K51" s="6">
        <f>IF(C51="Custom Period",IF(OR(E51="C",F51="C"),"C","C"&amp;TEXT(MATCH(E51,Codebook!$H$2:$H$13,0),"00")&amp;TEXT(MATCH(F51,Codebook!$H$2:$H$13,0),"00")),D51)</f>
        <v>0</v>
      </c>
      <c r="L51" s="6" t="str">
        <f>IFERROR(INDEX(Codebook!$D$2:$D$50,MATCH(G51,Codebook!$C$2:$C$50,0)),"")</f>
        <v/>
      </c>
      <c r="M51" s="6" t="str">
        <f>IFERROR(INDEX(Codebook!$F$2:$F$3,MATCH(H51,Codebook!$E$2:$E$3,0)),"")</f>
        <v/>
      </c>
      <c r="N51" s="7" t="str">
        <f t="shared" si="27"/>
        <v/>
      </c>
      <c r="O51" s="6" t="str">
        <f t="shared" si="28"/>
        <v/>
      </c>
      <c r="P51" s="6" t="str">
        <f t="shared" si="29"/>
        <v/>
      </c>
    </row>
    <row r="52" spans="1:16" x14ac:dyDescent="0.35">
      <c r="A52" s="2">
        <v>45</v>
      </c>
      <c r="B52" s="3"/>
      <c r="C52" s="4"/>
      <c r="D52" s="4"/>
      <c r="E52" s="4"/>
      <c r="F52" s="4"/>
      <c r="G52" s="4"/>
      <c r="H52" s="4"/>
      <c r="I52" s="4"/>
      <c r="J52" s="5"/>
      <c r="K52" s="6">
        <f>IF(C52="Custom Period",IF(OR(E52="C",F52="C"),"C","C"&amp;TEXT(MATCH(E52,Codebook!$H$2:$H$13,0),"00")&amp;TEXT(MATCH(F52,Codebook!$H$2:$H$13,0),"00")),D52)</f>
        <v>0</v>
      </c>
      <c r="L52" s="6" t="str">
        <f>IFERROR(INDEX(Codebook!$D$2:$D$50,MATCH(G52,Codebook!$C$2:$C$50,0)),"")</f>
        <v/>
      </c>
      <c r="M52" s="6" t="str">
        <f>IFERROR(INDEX(Codebook!$F$2:$F$3,MATCH(H52,Codebook!$E$2:$E$3,0)),"")</f>
        <v/>
      </c>
      <c r="N52" s="7" t="str">
        <f t="shared" si="27"/>
        <v/>
      </c>
      <c r="O52" s="6" t="str">
        <f t="shared" si="28"/>
        <v/>
      </c>
      <c r="P52" s="6" t="str">
        <f t="shared" si="29"/>
        <v/>
      </c>
    </row>
    <row r="53" spans="1:16" x14ac:dyDescent="0.35">
      <c r="A53" s="2">
        <v>46</v>
      </c>
      <c r="B53" s="3"/>
      <c r="C53" s="4"/>
      <c r="D53" s="4"/>
      <c r="E53" s="4"/>
      <c r="F53" s="4"/>
      <c r="G53" s="4"/>
      <c r="H53" s="4"/>
      <c r="I53" s="4"/>
      <c r="J53" s="5"/>
      <c r="K53" s="6">
        <f>IF(C53="Custom Period",IF(OR(E53="C",F53="C"),"C","C"&amp;TEXT(MATCH(E53,Codebook!$H$2:$H$13,0),"00")&amp;TEXT(MATCH(F53,Codebook!$H$2:$H$13,0),"00")),D53)</f>
        <v>0</v>
      </c>
      <c r="L53" s="6" t="str">
        <f>IFERROR(INDEX(Codebook!$D$2:$D$50,MATCH(G53,Codebook!$C$2:$C$50,0)),"")</f>
        <v/>
      </c>
      <c r="M53" s="6" t="str">
        <f>IFERROR(INDEX(Codebook!$F$2:$F$3,MATCH(H53,Codebook!$E$2:$E$3,0)),"")</f>
        <v/>
      </c>
      <c r="N53" s="7" t="str">
        <f t="shared" si="27"/>
        <v/>
      </c>
      <c r="O53" s="6" t="str">
        <f t="shared" si="28"/>
        <v/>
      </c>
      <c r="P53" s="6" t="str">
        <f t="shared" si="29"/>
        <v/>
      </c>
    </row>
    <row r="54" spans="1:16" x14ac:dyDescent="0.35">
      <c r="A54" s="2">
        <v>47</v>
      </c>
      <c r="B54" s="3"/>
      <c r="C54" s="4"/>
      <c r="D54" s="4"/>
      <c r="E54" s="4"/>
      <c r="F54" s="4"/>
      <c r="G54" s="4"/>
      <c r="H54" s="4"/>
      <c r="I54" s="4"/>
      <c r="J54" s="5"/>
      <c r="K54" s="6">
        <f>IF(C54="Custom Period",IF(OR(E54="C",F54="C"),"C","C"&amp;TEXT(MATCH(E54,Codebook!$H$2:$H$13,0),"00")&amp;TEXT(MATCH(F54,Codebook!$H$2:$H$13,0),"00")),D54)</f>
        <v>0</v>
      </c>
      <c r="L54" s="6" t="str">
        <f>IFERROR(INDEX(Codebook!$D$2:$D$50,MATCH(G54,Codebook!$C$2:$C$50,0)),"")</f>
        <v/>
      </c>
      <c r="M54" s="6" t="str">
        <f>IFERROR(INDEX(Codebook!$F$2:$F$3,MATCH(H54,Codebook!$E$2:$E$3,0)),"")</f>
        <v/>
      </c>
      <c r="N54" s="7" t="str">
        <f t="shared" si="27"/>
        <v/>
      </c>
      <c r="O54" s="6" t="str">
        <f t="shared" si="28"/>
        <v/>
      </c>
      <c r="P54" s="6" t="str">
        <f t="shared" si="29"/>
        <v/>
      </c>
    </row>
    <row r="55" spans="1:16" x14ac:dyDescent="0.35">
      <c r="A55" s="2">
        <v>48</v>
      </c>
      <c r="B55" s="3"/>
      <c r="C55" s="4"/>
      <c r="D55" s="4"/>
      <c r="E55" s="4"/>
      <c r="F55" s="4"/>
      <c r="G55" s="4"/>
      <c r="H55" s="4"/>
      <c r="I55" s="4"/>
      <c r="J55" s="5"/>
      <c r="K55" s="6">
        <f>IF(C55="Custom Period",IF(OR(E55="C",F55="C"),"C","C"&amp;TEXT(MATCH(E55,Codebook!$H$2:$H$13,0),"00")&amp;TEXT(MATCH(F55,Codebook!$H$2:$H$13,0),"00")),D55)</f>
        <v>0</v>
      </c>
      <c r="L55" s="6" t="str">
        <f>IFERROR(INDEX(Codebook!$D$2:$D$50,MATCH(G55,Codebook!$C$2:$C$50,0)),"")</f>
        <v/>
      </c>
      <c r="M55" s="6" t="str">
        <f>IFERROR(INDEX(Codebook!$F$2:$F$3,MATCH(H55,Codebook!$E$2:$E$3,0)),"")</f>
        <v/>
      </c>
      <c r="N55" s="7" t="str">
        <f t="shared" si="27"/>
        <v/>
      </c>
      <c r="O55" s="6" t="str">
        <f t="shared" si="28"/>
        <v/>
      </c>
      <c r="P55" s="6" t="str">
        <f t="shared" si="29"/>
        <v/>
      </c>
    </row>
    <row r="56" spans="1:16" x14ac:dyDescent="0.35">
      <c r="A56" s="2">
        <v>49</v>
      </c>
      <c r="B56" s="3"/>
      <c r="C56" s="4"/>
      <c r="D56" s="4"/>
      <c r="E56" s="4"/>
      <c r="F56" s="4"/>
      <c r="G56" s="4"/>
      <c r="H56" s="4"/>
      <c r="I56" s="4"/>
      <c r="J56" s="5"/>
      <c r="K56" s="6">
        <f>IF(C56="Custom Period",IF(OR(E56="C",F56="C"),"C","C"&amp;TEXT(MATCH(E56,Codebook!$H$2:$H$13,0),"00")&amp;TEXT(MATCH(F56,Codebook!$H$2:$H$13,0),"00")),D56)</f>
        <v>0</v>
      </c>
      <c r="L56" s="6" t="str">
        <f>IFERROR(INDEX(Codebook!$D$2:$D$50,MATCH(G56,Codebook!$C$2:$C$50,0)),"")</f>
        <v/>
      </c>
      <c r="M56" s="6" t="str">
        <f>IFERROR(INDEX(Codebook!$F$2:$F$3,MATCH(H56,Codebook!$E$2:$E$3,0)),"")</f>
        <v/>
      </c>
      <c r="N56" s="7" t="str">
        <f t="shared" si="27"/>
        <v/>
      </c>
      <c r="O56" s="6" t="str">
        <f t="shared" si="28"/>
        <v/>
      </c>
      <c r="P56" s="6" t="str">
        <f t="shared" si="29"/>
        <v/>
      </c>
    </row>
    <row r="57" spans="1:16" x14ac:dyDescent="0.35">
      <c r="A57" s="2">
        <v>50</v>
      </c>
      <c r="B57" s="3"/>
      <c r="C57" s="4"/>
      <c r="D57" s="4"/>
      <c r="E57" s="4"/>
      <c r="F57" s="4"/>
      <c r="G57" s="4"/>
      <c r="H57" s="4"/>
      <c r="I57" s="4"/>
      <c r="J57" s="5"/>
      <c r="K57" s="6">
        <f>IF(C57="Custom Period",IF(OR(E57="C",F57="C"),"C","C"&amp;TEXT(MATCH(E57,Codebook!$H$2:$H$13,0),"00")&amp;TEXT(MATCH(F57,Codebook!$H$2:$H$13,0),"00")),D57)</f>
        <v>0</v>
      </c>
      <c r="L57" s="6" t="str">
        <f>IFERROR(INDEX(Codebook!$D$2:$D$50,MATCH(G57,Codebook!$C$2:$C$50,0)),"")</f>
        <v/>
      </c>
      <c r="M57" s="6" t="str">
        <f>IFERROR(INDEX(Codebook!$F$2:$F$3,MATCH(H57,Codebook!$E$2:$E$3,0)),"")</f>
        <v/>
      </c>
      <c r="N57" s="7" t="str">
        <f t="shared" si="27"/>
        <v/>
      </c>
      <c r="O57" s="6" t="str">
        <f t="shared" si="28"/>
        <v/>
      </c>
      <c r="P57" s="6" t="str">
        <f t="shared" si="29"/>
        <v/>
      </c>
    </row>
    <row r="58" spans="1:16" x14ac:dyDescent="0.35">
      <c r="A58" s="2">
        <v>51</v>
      </c>
      <c r="B58" s="3"/>
      <c r="C58" s="4"/>
      <c r="D58" s="4"/>
      <c r="E58" s="4"/>
      <c r="F58" s="4"/>
      <c r="G58" s="4"/>
      <c r="H58" s="4"/>
      <c r="I58" s="4"/>
      <c r="J58" s="5"/>
      <c r="K58" s="6">
        <f>IF(C58="Custom Period",IF(OR(E58="C",F58="C"),"C","C"&amp;TEXT(MATCH(E58,Codebook!$H$2:$H$13,0),"00")&amp;TEXT(MATCH(F58,Codebook!$H$2:$H$13,0),"00")),D58)</f>
        <v>0</v>
      </c>
      <c r="L58" s="6" t="str">
        <f>IFERROR(INDEX(Codebook!$D$2:$D$50,MATCH(G58,Codebook!$C$2:$C$50,0)),"")</f>
        <v/>
      </c>
      <c r="M58" s="6" t="str">
        <f>IFERROR(INDEX(Codebook!$F$2:$F$3,MATCH(H58,Codebook!$E$2:$E$3,0)),"")</f>
        <v/>
      </c>
      <c r="N58" s="7" t="str">
        <f t="shared" si="27"/>
        <v/>
      </c>
      <c r="O58" s="6" t="str">
        <f t="shared" si="28"/>
        <v/>
      </c>
      <c r="P58" s="6" t="str">
        <f t="shared" si="29"/>
        <v/>
      </c>
    </row>
    <row r="59" spans="1:16" x14ac:dyDescent="0.35">
      <c r="A59" s="2">
        <v>52</v>
      </c>
      <c r="B59" s="3"/>
      <c r="C59" s="4"/>
      <c r="D59" s="4"/>
      <c r="E59" s="4"/>
      <c r="F59" s="4"/>
      <c r="G59" s="4"/>
      <c r="H59" s="4"/>
      <c r="I59" s="4"/>
      <c r="J59" s="5"/>
      <c r="K59" s="6">
        <f>IF(C59="Custom Period",IF(OR(E59="C",F59="C"),"C","C"&amp;TEXT(MATCH(E59,Codebook!$H$2:$H$13,0),"00")&amp;TEXT(MATCH(F59,Codebook!$H$2:$H$13,0),"00")),D59)</f>
        <v>0</v>
      </c>
      <c r="L59" s="6" t="str">
        <f>IFERROR(INDEX(Codebook!$D$2:$D$50,MATCH(G59,Codebook!$C$2:$C$50,0)),"")</f>
        <v/>
      </c>
      <c r="M59" s="6" t="str">
        <f>IFERROR(INDEX(Codebook!$F$2:$F$3,MATCH(H59,Codebook!$E$2:$E$3,0)),"")</f>
        <v/>
      </c>
      <c r="N59" s="7" t="str">
        <f t="shared" si="27"/>
        <v/>
      </c>
      <c r="O59" s="6" t="str">
        <f t="shared" si="28"/>
        <v/>
      </c>
      <c r="P59" s="6" t="str">
        <f t="shared" si="29"/>
        <v/>
      </c>
    </row>
    <row r="60" spans="1:16" x14ac:dyDescent="0.35">
      <c r="A60" s="2">
        <v>53</v>
      </c>
      <c r="B60" s="3"/>
      <c r="C60" s="4"/>
      <c r="D60" s="4"/>
      <c r="E60" s="4"/>
      <c r="F60" s="4"/>
      <c r="G60" s="4"/>
      <c r="H60" s="4"/>
      <c r="I60" s="4"/>
      <c r="J60" s="5"/>
      <c r="K60" s="6">
        <f>IF(C60="Custom Period",IF(OR(E60="C",F60="C"),"C","C"&amp;TEXT(MATCH(E60,Codebook!$H$2:$H$13,0),"00")&amp;TEXT(MATCH(F60,Codebook!$H$2:$H$13,0),"00")),D60)</f>
        <v>0</v>
      </c>
      <c r="L60" s="6" t="str">
        <f>IFERROR(INDEX(Codebook!$D$2:$D$50,MATCH(G60,Codebook!$C$2:$C$50,0)),"")</f>
        <v/>
      </c>
      <c r="M60" s="6" t="str">
        <f>IFERROR(INDEX(Codebook!$F$2:$F$3,MATCH(H60,Codebook!$E$2:$E$3,0)),"")</f>
        <v/>
      </c>
      <c r="N60" s="7" t="str">
        <f t="shared" si="27"/>
        <v/>
      </c>
      <c r="O60" s="6" t="str">
        <f t="shared" si="28"/>
        <v/>
      </c>
      <c r="P60" s="6" t="str">
        <f t="shared" si="29"/>
        <v/>
      </c>
    </row>
    <row r="61" spans="1:16" x14ac:dyDescent="0.35">
      <c r="A61" s="2">
        <v>54</v>
      </c>
      <c r="B61" s="3"/>
      <c r="C61" s="4"/>
      <c r="D61" s="4"/>
      <c r="E61" s="4"/>
      <c r="F61" s="4"/>
      <c r="G61" s="4"/>
      <c r="H61" s="4"/>
      <c r="I61" s="4"/>
      <c r="J61" s="5"/>
      <c r="K61" s="6">
        <f>IF(C61="Custom Period",IF(OR(E61="C",F61="C"),"C","C"&amp;TEXT(MATCH(E61,Codebook!$H$2:$H$13,0),"00")&amp;TEXT(MATCH(F61,Codebook!$H$2:$H$13,0),"00")),D61)</f>
        <v>0</v>
      </c>
      <c r="L61" s="6" t="str">
        <f>IFERROR(INDEX(Codebook!$D$2:$D$50,MATCH(G61,Codebook!$C$2:$C$50,0)),"")</f>
        <v/>
      </c>
      <c r="M61" s="6" t="str">
        <f>IFERROR(INDEX(Codebook!$F$2:$F$3,MATCH(H61,Codebook!$E$2:$E$3,0)),"")</f>
        <v/>
      </c>
      <c r="N61" s="7" t="str">
        <f t="shared" si="27"/>
        <v/>
      </c>
      <c r="O61" s="6" t="str">
        <f t="shared" si="28"/>
        <v/>
      </c>
      <c r="P61" s="6" t="str">
        <f t="shared" si="29"/>
        <v/>
      </c>
    </row>
    <row r="62" spans="1:16" x14ac:dyDescent="0.35">
      <c r="A62" s="2">
        <v>55</v>
      </c>
      <c r="B62" s="3"/>
      <c r="C62" s="4"/>
      <c r="D62" s="4"/>
      <c r="E62" s="4"/>
      <c r="F62" s="4"/>
      <c r="G62" s="4"/>
      <c r="H62" s="4"/>
      <c r="I62" s="4"/>
      <c r="J62" s="5"/>
      <c r="K62" s="6">
        <f>IF(C62="Custom Period",IF(OR(E62="C",F62="C"),"C","C"&amp;TEXT(MATCH(E62,Codebook!$H$2:$H$13,0),"00")&amp;TEXT(MATCH(F62,Codebook!$H$2:$H$13,0),"00")),D62)</f>
        <v>0</v>
      </c>
      <c r="L62" s="6" t="str">
        <f>IFERROR(INDEX(Codebook!$D$2:$D$50,MATCH(G62,Codebook!$C$2:$C$50,0)),"")</f>
        <v/>
      </c>
      <c r="M62" s="6" t="str">
        <f>IFERROR(INDEX(Codebook!$F$2:$F$3,MATCH(H62,Codebook!$E$2:$E$3,0)),"")</f>
        <v/>
      </c>
      <c r="N62" s="7" t="str">
        <f t="shared" si="27"/>
        <v/>
      </c>
      <c r="O62" s="6" t="str">
        <f t="shared" si="28"/>
        <v/>
      </c>
      <c r="P62" s="6" t="str">
        <f t="shared" si="29"/>
        <v/>
      </c>
    </row>
    <row r="63" spans="1:16" x14ac:dyDescent="0.35">
      <c r="A63" s="2">
        <v>56</v>
      </c>
      <c r="B63" s="3"/>
      <c r="C63" s="4"/>
      <c r="D63" s="4"/>
      <c r="E63" s="4"/>
      <c r="F63" s="4"/>
      <c r="G63" s="4"/>
      <c r="H63" s="4"/>
      <c r="I63" s="4"/>
      <c r="J63" s="5"/>
      <c r="K63" s="6">
        <f>IF(C63="Custom Period",IF(OR(E63="C",F63="C"),"C","C"&amp;TEXT(MATCH(E63,Codebook!$H$2:$H$13,0),"00")&amp;TEXT(MATCH(F63,Codebook!$H$2:$H$13,0),"00")),D63)</f>
        <v>0</v>
      </c>
      <c r="L63" s="6" t="str">
        <f>IFERROR(INDEX(Codebook!$D$2:$D$50,MATCH(G63,Codebook!$C$2:$C$50,0)),"")</f>
        <v/>
      </c>
      <c r="M63" s="6" t="str">
        <f>IFERROR(INDEX(Codebook!$F$2:$F$3,MATCH(H63,Codebook!$E$2:$E$3,0)),"")</f>
        <v/>
      </c>
      <c r="N63" s="7" t="str">
        <f t="shared" si="27"/>
        <v/>
      </c>
      <c r="O63" s="6" t="str">
        <f t="shared" si="28"/>
        <v/>
      </c>
      <c r="P63" s="6" t="str">
        <f t="shared" si="29"/>
        <v/>
      </c>
    </row>
    <row r="64" spans="1:16" x14ac:dyDescent="0.35">
      <c r="A64" s="2">
        <v>57</v>
      </c>
      <c r="B64" s="3"/>
      <c r="C64" s="4"/>
      <c r="D64" s="4"/>
      <c r="E64" s="4"/>
      <c r="F64" s="4"/>
      <c r="G64" s="4"/>
      <c r="H64" s="4"/>
      <c r="I64" s="4"/>
      <c r="J64" s="5"/>
      <c r="K64" s="6">
        <f>IF(C64="Custom Period",IF(OR(E64="C",F64="C"),"C","C"&amp;TEXT(MATCH(E64,Codebook!$H$2:$H$13,0),"00")&amp;TEXT(MATCH(F64,Codebook!$H$2:$H$13,0),"00")),D64)</f>
        <v>0</v>
      </c>
      <c r="L64" s="6" t="str">
        <f>IFERROR(INDEX(Codebook!$D$2:$D$50,MATCH(G64,Codebook!$C$2:$C$50,0)),"")</f>
        <v/>
      </c>
      <c r="M64" s="6" t="str">
        <f>IFERROR(INDEX(Codebook!$F$2:$F$3,MATCH(H64,Codebook!$E$2:$E$3,0)),"")</f>
        <v/>
      </c>
      <c r="N64" s="7" t="str">
        <f t="shared" si="27"/>
        <v/>
      </c>
      <c r="O64" s="6" t="str">
        <f t="shared" si="28"/>
        <v/>
      </c>
      <c r="P64" s="6" t="str">
        <f t="shared" si="29"/>
        <v/>
      </c>
    </row>
    <row r="65" spans="1:16" x14ac:dyDescent="0.35">
      <c r="A65" s="2">
        <v>58</v>
      </c>
      <c r="B65" s="3"/>
      <c r="C65" s="4"/>
      <c r="D65" s="4"/>
      <c r="E65" s="4"/>
      <c r="F65" s="4"/>
      <c r="G65" s="4"/>
      <c r="H65" s="4"/>
      <c r="I65" s="4"/>
      <c r="J65" s="5"/>
      <c r="K65" s="6">
        <f>IF(C65="Custom Period",IF(OR(E65="C",F65="C"),"C","C"&amp;TEXT(MATCH(E65,Codebook!$H$2:$H$13,0),"00")&amp;TEXT(MATCH(F65,Codebook!$H$2:$H$13,0),"00")),D65)</f>
        <v>0</v>
      </c>
      <c r="L65" s="6" t="str">
        <f>IFERROR(INDEX(Codebook!$D$2:$D$50,MATCH(G65,Codebook!$C$2:$C$50,0)),"")</f>
        <v/>
      </c>
      <c r="M65" s="6" t="str">
        <f>IFERROR(INDEX(Codebook!$F$2:$F$3,MATCH(H65,Codebook!$E$2:$E$3,0)),"")</f>
        <v/>
      </c>
      <c r="N65" s="7" t="str">
        <f t="shared" si="27"/>
        <v/>
      </c>
      <c r="O65" s="6" t="str">
        <f t="shared" si="28"/>
        <v/>
      </c>
      <c r="P65" s="6" t="str">
        <f t="shared" si="29"/>
        <v/>
      </c>
    </row>
    <row r="66" spans="1:16" x14ac:dyDescent="0.35">
      <c r="A66" s="2">
        <v>59</v>
      </c>
      <c r="B66" s="3"/>
      <c r="C66" s="4"/>
      <c r="D66" s="4"/>
      <c r="E66" s="4"/>
      <c r="F66" s="4"/>
      <c r="G66" s="4"/>
      <c r="H66" s="4"/>
      <c r="I66" s="4"/>
      <c r="J66" s="5"/>
      <c r="K66" s="6">
        <f>IF(C66="Custom Period",IF(OR(E66="C",F66="C"),"C","C"&amp;TEXT(MATCH(E66,Codebook!$H$2:$H$13,0),"00")&amp;TEXT(MATCH(F66,Codebook!$H$2:$H$13,0),"00")),D66)</f>
        <v>0</v>
      </c>
      <c r="L66" s="6" t="str">
        <f>IFERROR(INDEX(Codebook!$D$2:$D$50,MATCH(G66,Codebook!$C$2:$C$50,0)),"")</f>
        <v/>
      </c>
      <c r="M66" s="6" t="str">
        <f>IFERROR(INDEX(Codebook!$F$2:$F$3,MATCH(H66,Codebook!$E$2:$E$3,0)),"")</f>
        <v/>
      </c>
      <c r="N66" s="7" t="str">
        <f t="shared" si="27"/>
        <v/>
      </c>
      <c r="O66" s="6" t="str">
        <f t="shared" si="28"/>
        <v/>
      </c>
      <c r="P66" s="6" t="str">
        <f t="shared" si="29"/>
        <v/>
      </c>
    </row>
    <row r="67" spans="1:16" x14ac:dyDescent="0.35">
      <c r="A67" s="2">
        <v>60</v>
      </c>
      <c r="B67" s="3"/>
      <c r="C67" s="4"/>
      <c r="D67" s="4"/>
      <c r="E67" s="4"/>
      <c r="F67" s="4"/>
      <c r="G67" s="4"/>
      <c r="H67" s="4"/>
      <c r="I67" s="4"/>
      <c r="J67" s="5"/>
      <c r="K67" s="6">
        <f>IF(C67="Custom Period",IF(OR(E67="C",F67="C"),"C","C"&amp;TEXT(MATCH(E67,Codebook!$H$2:$H$13,0),"00")&amp;TEXT(MATCH(F67,Codebook!$H$2:$H$13,0),"00")),D67)</f>
        <v>0</v>
      </c>
      <c r="L67" s="6" t="str">
        <f>IFERROR(INDEX(Codebook!$D$2:$D$50,MATCH(G67,Codebook!$C$2:$C$50,0)),"")</f>
        <v/>
      </c>
      <c r="M67" s="6" t="str">
        <f>IFERROR(INDEX(Codebook!$F$2:$F$3,MATCH(H67,Codebook!$E$2:$E$3,0)),"")</f>
        <v/>
      </c>
      <c r="N67" s="7" t="str">
        <f t="shared" si="27"/>
        <v/>
      </c>
      <c r="O67" s="6" t="str">
        <f t="shared" si="28"/>
        <v/>
      </c>
      <c r="P67" s="6" t="str">
        <f t="shared" si="29"/>
        <v/>
      </c>
    </row>
    <row r="68" spans="1:16" x14ac:dyDescent="0.35">
      <c r="A68" s="2">
        <v>61</v>
      </c>
      <c r="B68" s="3"/>
      <c r="C68" s="4"/>
      <c r="D68" s="4"/>
      <c r="E68" s="4"/>
      <c r="F68" s="4"/>
      <c r="G68" s="4"/>
      <c r="H68" s="4"/>
      <c r="I68" s="4"/>
      <c r="J68" s="5"/>
      <c r="K68" s="6">
        <f>IF(C68="Custom Period",IF(OR(E68="C",F68="C"),"C","C"&amp;TEXT(MATCH(E68,Codebook!$H$2:$H$13,0),"00")&amp;TEXT(MATCH(F68,Codebook!$H$2:$H$13,0),"00")),D68)</f>
        <v>0</v>
      </c>
      <c r="L68" s="6" t="str">
        <f>IFERROR(INDEX(Codebook!$D$2:$D$50,MATCH(G68,Codebook!$C$2:$C$50,0)),"")</f>
        <v/>
      </c>
      <c r="M68" s="6" t="str">
        <f>IFERROR(INDEX(Codebook!$F$2:$F$3,MATCH(H68,Codebook!$E$2:$E$3,0)),"")</f>
        <v/>
      </c>
      <c r="N68" s="7" t="str">
        <f t="shared" si="27"/>
        <v/>
      </c>
      <c r="O68" s="6" t="str">
        <f t="shared" si="28"/>
        <v/>
      </c>
      <c r="P68" s="6" t="str">
        <f t="shared" si="29"/>
        <v/>
      </c>
    </row>
    <row r="69" spans="1:16" x14ac:dyDescent="0.35">
      <c r="A69" s="2">
        <v>62</v>
      </c>
      <c r="B69" s="3"/>
      <c r="C69" s="4"/>
      <c r="D69" s="4"/>
      <c r="E69" s="4"/>
      <c r="F69" s="4"/>
      <c r="G69" s="4"/>
      <c r="H69" s="4"/>
      <c r="I69" s="4"/>
      <c r="J69" s="5"/>
      <c r="K69" s="6">
        <f>IF(C69="Custom Period",IF(OR(E69="C",F69="C"),"C","C"&amp;TEXT(MATCH(E69,Codebook!$H$2:$H$13,0),"00")&amp;TEXT(MATCH(F69,Codebook!$H$2:$H$13,0),"00")),D69)</f>
        <v>0</v>
      </c>
      <c r="L69" s="6" t="str">
        <f>IFERROR(INDEX(Codebook!$D$2:$D$50,MATCH(G69,Codebook!$C$2:$C$50,0)),"")</f>
        <v/>
      </c>
      <c r="M69" s="6" t="str">
        <f>IFERROR(INDEX(Codebook!$F$2:$F$3,MATCH(H69,Codebook!$E$2:$E$3,0)),"")</f>
        <v/>
      </c>
      <c r="N69" s="7" t="str">
        <f t="shared" si="27"/>
        <v/>
      </c>
      <c r="O69" s="6" t="str">
        <f t="shared" si="28"/>
        <v/>
      </c>
      <c r="P69" s="6" t="str">
        <f t="shared" si="29"/>
        <v/>
      </c>
    </row>
    <row r="70" spans="1:16" x14ac:dyDescent="0.35">
      <c r="A70" s="2">
        <v>63</v>
      </c>
      <c r="B70" s="3"/>
      <c r="C70" s="4"/>
      <c r="D70" s="4"/>
      <c r="E70" s="4"/>
      <c r="F70" s="4"/>
      <c r="G70" s="4"/>
      <c r="H70" s="4"/>
      <c r="I70" s="4"/>
      <c r="J70" s="5"/>
      <c r="K70" s="6">
        <f>IF(C70="Custom Period",IF(OR(E70="C",F70="C"),"C","C"&amp;TEXT(MATCH(E70,Codebook!$H$2:$H$13,0),"00")&amp;TEXT(MATCH(F70,Codebook!$H$2:$H$13,0),"00")),D70)</f>
        <v>0</v>
      </c>
      <c r="L70" s="6" t="str">
        <f>IFERROR(INDEX(Codebook!$D$2:$D$50,MATCH(G70,Codebook!$C$2:$C$50,0)),"")</f>
        <v/>
      </c>
      <c r="M70" s="6" t="str">
        <f>IFERROR(INDEX(Codebook!$F$2:$F$3,MATCH(H70,Codebook!$E$2:$E$3,0)),"")</f>
        <v/>
      </c>
      <c r="N70" s="7" t="str">
        <f t="shared" si="27"/>
        <v/>
      </c>
      <c r="O70" s="6" t="str">
        <f t="shared" si="28"/>
        <v/>
      </c>
      <c r="P70" s="6" t="str">
        <f t="shared" si="29"/>
        <v/>
      </c>
    </row>
    <row r="71" spans="1:16" x14ac:dyDescent="0.35">
      <c r="A71" s="2">
        <v>64</v>
      </c>
      <c r="B71" s="3"/>
      <c r="C71" s="4"/>
      <c r="D71" s="4"/>
      <c r="E71" s="4"/>
      <c r="F71" s="4"/>
      <c r="G71" s="4"/>
      <c r="H71" s="4"/>
      <c r="I71" s="4"/>
      <c r="J71" s="5"/>
      <c r="K71" s="6">
        <f>IF(C71="Custom Period",IF(OR(E71="C",F71="C"),"C","C"&amp;TEXT(MATCH(E71,Codebook!$H$2:$H$13,0),"00")&amp;TEXT(MATCH(F71,Codebook!$H$2:$H$13,0),"00")),D71)</f>
        <v>0</v>
      </c>
      <c r="L71" s="6" t="str">
        <f>IFERROR(INDEX(Codebook!$D$2:$D$50,MATCH(G71,Codebook!$C$2:$C$50,0)),"")</f>
        <v/>
      </c>
      <c r="M71" s="6" t="str">
        <f>IFERROR(INDEX(Codebook!$F$2:$F$3,MATCH(H71,Codebook!$E$2:$E$3,0)),"")</f>
        <v/>
      </c>
      <c r="N71" s="7" t="str">
        <f t="shared" si="27"/>
        <v/>
      </c>
      <c r="O71" s="6" t="str">
        <f t="shared" si="28"/>
        <v/>
      </c>
      <c r="P71" s="6" t="str">
        <f t="shared" si="29"/>
        <v/>
      </c>
    </row>
    <row r="72" spans="1:16" x14ac:dyDescent="0.35">
      <c r="A72" s="2">
        <v>65</v>
      </c>
      <c r="B72" s="3"/>
      <c r="C72" s="4"/>
      <c r="D72" s="4"/>
      <c r="E72" s="4"/>
      <c r="F72" s="4"/>
      <c r="G72" s="4"/>
      <c r="H72" s="4"/>
      <c r="I72" s="4"/>
      <c r="J72" s="5"/>
      <c r="K72" s="6">
        <f>IF(C72="Custom Period",IF(OR(E72="C",F72="C"),"C","C"&amp;TEXT(MATCH(E72,Codebook!$H$2:$H$13,0),"00")&amp;TEXT(MATCH(F72,Codebook!$H$2:$H$13,0),"00")),D72)</f>
        <v>0</v>
      </c>
      <c r="L72" s="6" t="str">
        <f>IFERROR(INDEX(Codebook!$D$2:$D$50,MATCH(G72,Codebook!$C$2:$C$50,0)),"")</f>
        <v/>
      </c>
      <c r="M72" s="6" t="str">
        <f>IFERROR(INDEX(Codebook!$F$2:$F$3,MATCH(H72,Codebook!$E$2:$E$3,0)),"")</f>
        <v/>
      </c>
      <c r="N72" s="7" t="str">
        <f t="shared" ref="N72:N103" si="30">IF(OR(B72="",K72="",L72="",M72="",I72="",J72=""),"",RIGHT(B72,2)&amp;K72&amp;"-"&amp;L72&amp;M72&amp;I72&amp;"-"&amp;J72)</f>
        <v/>
      </c>
      <c r="O72" s="6" t="str">
        <f t="shared" ref="O72:O103" si="31">IF(N72="","",LEN(N72))</f>
        <v/>
      </c>
      <c r="P72" s="6" t="str">
        <f t="shared" ref="P72:P103" si="32">IF(COUNTA(B72:J72)=0,"",IF(AND(LEFT(B72,3)="FY ",LEN(B72)=10,LEN(I72&amp;"")=1,LEN(J72&amp;"")=7,O72&lt;=20,OR(AND(C72="Custom Period",E72&lt;&gt;"",F72&lt;&gt;""),AND(C72="Monthly",LEFT(D72,1)="M"),AND(C72="Quarterly",LEFT(D72,1)="Q"),AND(C72="Half Yearly",LEFT(D72,1)="H"),AND(C72="Annual",D72="AN"))),"OK","CHECK INPUT"))</f>
        <v/>
      </c>
    </row>
    <row r="73" spans="1:16" x14ac:dyDescent="0.35">
      <c r="A73" s="2">
        <v>66</v>
      </c>
      <c r="B73" s="3"/>
      <c r="C73" s="4"/>
      <c r="D73" s="4"/>
      <c r="E73" s="4"/>
      <c r="F73" s="4"/>
      <c r="G73" s="4"/>
      <c r="H73" s="4"/>
      <c r="I73" s="4"/>
      <c r="J73" s="5"/>
      <c r="K73" s="6">
        <f>IF(C73="Custom Period",IF(OR(E73="C",F73="C"),"C","C"&amp;TEXT(MATCH(E73,Codebook!$H$2:$H$13,0),"00")&amp;TEXT(MATCH(F73,Codebook!$H$2:$H$13,0),"00")),D73)</f>
        <v>0</v>
      </c>
      <c r="L73" s="6" t="str">
        <f>IFERROR(INDEX(Codebook!$D$2:$D$50,MATCH(G73,Codebook!$C$2:$C$50,0)),"")</f>
        <v/>
      </c>
      <c r="M73" s="6" t="str">
        <f>IFERROR(INDEX(Codebook!$F$2:$F$3,MATCH(H73,Codebook!$E$2:$E$3,0)),"")</f>
        <v/>
      </c>
      <c r="N73" s="7" t="str">
        <f t="shared" si="30"/>
        <v/>
      </c>
      <c r="O73" s="6" t="str">
        <f t="shared" si="31"/>
        <v/>
      </c>
      <c r="P73" s="6" t="str">
        <f t="shared" si="32"/>
        <v/>
      </c>
    </row>
    <row r="74" spans="1:16" x14ac:dyDescent="0.35">
      <c r="A74" s="2">
        <v>67</v>
      </c>
      <c r="B74" s="3"/>
      <c r="C74" s="4"/>
      <c r="D74" s="4"/>
      <c r="E74" s="4"/>
      <c r="F74" s="4"/>
      <c r="G74" s="4"/>
      <c r="H74" s="4"/>
      <c r="I74" s="4"/>
      <c r="J74" s="5"/>
      <c r="K74" s="6">
        <f>IF(C74="Custom Period",IF(OR(E74="C",F74="C"),"C","C"&amp;TEXT(MATCH(E74,Codebook!$H$2:$H$13,0),"00")&amp;TEXT(MATCH(F74,Codebook!$H$2:$H$13,0),"00")),D74)</f>
        <v>0</v>
      </c>
      <c r="L74" s="6" t="str">
        <f>IFERROR(INDEX(Codebook!$D$2:$D$50,MATCH(G74,Codebook!$C$2:$C$50,0)),"")</f>
        <v/>
      </c>
      <c r="M74" s="6" t="str">
        <f>IFERROR(INDEX(Codebook!$F$2:$F$3,MATCH(H74,Codebook!$E$2:$E$3,0)),"")</f>
        <v/>
      </c>
      <c r="N74" s="7" t="str">
        <f t="shared" si="30"/>
        <v/>
      </c>
      <c r="O74" s="6" t="str">
        <f t="shared" si="31"/>
        <v/>
      </c>
      <c r="P74" s="6" t="str">
        <f t="shared" si="32"/>
        <v/>
      </c>
    </row>
    <row r="75" spans="1:16" x14ac:dyDescent="0.35">
      <c r="A75" s="2">
        <v>68</v>
      </c>
      <c r="B75" s="3"/>
      <c r="C75" s="4"/>
      <c r="D75" s="4"/>
      <c r="E75" s="4"/>
      <c r="F75" s="4"/>
      <c r="G75" s="4"/>
      <c r="H75" s="4"/>
      <c r="I75" s="4"/>
      <c r="J75" s="5"/>
      <c r="K75" s="6">
        <f>IF(C75="Custom Period",IF(OR(E75="C",F75="C"),"C","C"&amp;TEXT(MATCH(E75,Codebook!$H$2:$H$13,0),"00")&amp;TEXT(MATCH(F75,Codebook!$H$2:$H$13,0),"00")),D75)</f>
        <v>0</v>
      </c>
      <c r="L75" s="6" t="str">
        <f>IFERROR(INDEX(Codebook!$D$2:$D$50,MATCH(G75,Codebook!$C$2:$C$50,0)),"")</f>
        <v/>
      </c>
      <c r="M75" s="6" t="str">
        <f>IFERROR(INDEX(Codebook!$F$2:$F$3,MATCH(H75,Codebook!$E$2:$E$3,0)),"")</f>
        <v/>
      </c>
      <c r="N75" s="7" t="str">
        <f t="shared" si="30"/>
        <v/>
      </c>
      <c r="O75" s="6" t="str">
        <f t="shared" si="31"/>
        <v/>
      </c>
      <c r="P75" s="6" t="str">
        <f t="shared" si="32"/>
        <v/>
      </c>
    </row>
    <row r="76" spans="1:16" x14ac:dyDescent="0.35">
      <c r="A76" s="2">
        <v>69</v>
      </c>
      <c r="B76" s="3"/>
      <c r="C76" s="4"/>
      <c r="D76" s="4"/>
      <c r="E76" s="4"/>
      <c r="F76" s="4"/>
      <c r="G76" s="4"/>
      <c r="H76" s="4"/>
      <c r="I76" s="4"/>
      <c r="J76" s="5"/>
      <c r="K76" s="6">
        <f>IF(C76="Custom Period",IF(OR(E76="C",F76="C"),"C","C"&amp;TEXT(MATCH(E76,Codebook!$H$2:$H$13,0),"00")&amp;TEXT(MATCH(F76,Codebook!$H$2:$H$13,0),"00")),D76)</f>
        <v>0</v>
      </c>
      <c r="L76" s="6" t="str">
        <f>IFERROR(INDEX(Codebook!$D$2:$D$50,MATCH(G76,Codebook!$C$2:$C$50,0)),"")</f>
        <v/>
      </c>
      <c r="M76" s="6" t="str">
        <f>IFERROR(INDEX(Codebook!$F$2:$F$3,MATCH(H76,Codebook!$E$2:$E$3,0)),"")</f>
        <v/>
      </c>
      <c r="N76" s="7" t="str">
        <f t="shared" si="30"/>
        <v/>
      </c>
      <c r="O76" s="6" t="str">
        <f t="shared" si="31"/>
        <v/>
      </c>
      <c r="P76" s="6" t="str">
        <f t="shared" si="32"/>
        <v/>
      </c>
    </row>
    <row r="77" spans="1:16" x14ac:dyDescent="0.35">
      <c r="A77" s="2">
        <v>70</v>
      </c>
      <c r="B77" s="3"/>
      <c r="C77" s="4"/>
      <c r="D77" s="4"/>
      <c r="E77" s="4"/>
      <c r="F77" s="4"/>
      <c r="G77" s="4"/>
      <c r="H77" s="4"/>
      <c r="I77" s="4"/>
      <c r="J77" s="5"/>
      <c r="K77" s="6">
        <f>IF(C77="Custom Period",IF(OR(E77="C",F77="C"),"C","C"&amp;TEXT(MATCH(E77,Codebook!$H$2:$H$13,0),"00")&amp;TEXT(MATCH(F77,Codebook!$H$2:$H$13,0),"00")),D77)</f>
        <v>0</v>
      </c>
      <c r="L77" s="6" t="str">
        <f>IFERROR(INDEX(Codebook!$D$2:$D$50,MATCH(G77,Codebook!$C$2:$C$50,0)),"")</f>
        <v/>
      </c>
      <c r="M77" s="6" t="str">
        <f>IFERROR(INDEX(Codebook!$F$2:$F$3,MATCH(H77,Codebook!$E$2:$E$3,0)),"")</f>
        <v/>
      </c>
      <c r="N77" s="7" t="str">
        <f t="shared" si="30"/>
        <v/>
      </c>
      <c r="O77" s="6" t="str">
        <f t="shared" si="31"/>
        <v/>
      </c>
      <c r="P77" s="6" t="str">
        <f t="shared" si="32"/>
        <v/>
      </c>
    </row>
    <row r="78" spans="1:16" x14ac:dyDescent="0.35">
      <c r="A78" s="2">
        <v>71</v>
      </c>
      <c r="B78" s="3"/>
      <c r="C78" s="4"/>
      <c r="D78" s="4"/>
      <c r="E78" s="4"/>
      <c r="F78" s="4"/>
      <c r="G78" s="4"/>
      <c r="H78" s="4"/>
      <c r="I78" s="4"/>
      <c r="J78" s="5"/>
      <c r="K78" s="6">
        <f>IF(C78="Custom Period",IF(OR(E78="C",F78="C"),"C","C"&amp;TEXT(MATCH(E78,Codebook!$H$2:$H$13,0),"00")&amp;TEXT(MATCH(F78,Codebook!$H$2:$H$13,0),"00")),D78)</f>
        <v>0</v>
      </c>
      <c r="L78" s="6" t="str">
        <f>IFERROR(INDEX(Codebook!$D$2:$D$50,MATCH(G78,Codebook!$C$2:$C$50,0)),"")</f>
        <v/>
      </c>
      <c r="M78" s="6" t="str">
        <f>IFERROR(INDEX(Codebook!$F$2:$F$3,MATCH(H78,Codebook!$E$2:$E$3,0)),"")</f>
        <v/>
      </c>
      <c r="N78" s="7" t="str">
        <f t="shared" si="30"/>
        <v/>
      </c>
      <c r="O78" s="6" t="str">
        <f t="shared" si="31"/>
        <v/>
      </c>
      <c r="P78" s="6" t="str">
        <f t="shared" si="32"/>
        <v/>
      </c>
    </row>
    <row r="79" spans="1:16" x14ac:dyDescent="0.35">
      <c r="A79" s="2">
        <v>72</v>
      </c>
      <c r="B79" s="3"/>
      <c r="C79" s="4"/>
      <c r="D79" s="4"/>
      <c r="E79" s="4"/>
      <c r="F79" s="4"/>
      <c r="G79" s="4"/>
      <c r="H79" s="4"/>
      <c r="I79" s="4"/>
      <c r="J79" s="5"/>
      <c r="K79" s="6">
        <f>IF(C79="Custom Period",IF(OR(E79="C",F79="C"),"C","C"&amp;TEXT(MATCH(E79,Codebook!$H$2:$H$13,0),"00")&amp;TEXT(MATCH(F79,Codebook!$H$2:$H$13,0),"00")),D79)</f>
        <v>0</v>
      </c>
      <c r="L79" s="6" t="str">
        <f>IFERROR(INDEX(Codebook!$D$2:$D$50,MATCH(G79,Codebook!$C$2:$C$50,0)),"")</f>
        <v/>
      </c>
      <c r="M79" s="6" t="str">
        <f>IFERROR(INDEX(Codebook!$F$2:$F$3,MATCH(H79,Codebook!$E$2:$E$3,0)),"")</f>
        <v/>
      </c>
      <c r="N79" s="7" t="str">
        <f t="shared" si="30"/>
        <v/>
      </c>
      <c r="O79" s="6" t="str">
        <f t="shared" si="31"/>
        <v/>
      </c>
      <c r="P79" s="6" t="str">
        <f t="shared" si="32"/>
        <v/>
      </c>
    </row>
    <row r="80" spans="1:16" x14ac:dyDescent="0.35">
      <c r="A80" s="2">
        <v>73</v>
      </c>
      <c r="B80" s="3"/>
      <c r="C80" s="4"/>
      <c r="D80" s="4"/>
      <c r="E80" s="4"/>
      <c r="F80" s="4"/>
      <c r="G80" s="4"/>
      <c r="H80" s="4"/>
      <c r="I80" s="4"/>
      <c r="J80" s="5"/>
      <c r="K80" s="6">
        <f>IF(C80="Custom Period",IF(OR(E80="C",F80="C"),"C","C"&amp;TEXT(MATCH(E80,Codebook!$H$2:$H$13,0),"00")&amp;TEXT(MATCH(F80,Codebook!$H$2:$H$13,0),"00")),D80)</f>
        <v>0</v>
      </c>
      <c r="L80" s="6" t="str">
        <f>IFERROR(INDEX(Codebook!$D$2:$D$50,MATCH(G80,Codebook!$C$2:$C$50,0)),"")</f>
        <v/>
      </c>
      <c r="M80" s="6" t="str">
        <f>IFERROR(INDEX(Codebook!$F$2:$F$3,MATCH(H80,Codebook!$E$2:$E$3,0)),"")</f>
        <v/>
      </c>
      <c r="N80" s="7" t="str">
        <f t="shared" si="30"/>
        <v/>
      </c>
      <c r="O80" s="6" t="str">
        <f t="shared" si="31"/>
        <v/>
      </c>
      <c r="P80" s="6" t="str">
        <f t="shared" si="32"/>
        <v/>
      </c>
    </row>
    <row r="81" spans="1:16" x14ac:dyDescent="0.35">
      <c r="A81" s="2">
        <v>74</v>
      </c>
      <c r="B81" s="3"/>
      <c r="C81" s="4"/>
      <c r="D81" s="4"/>
      <c r="E81" s="4"/>
      <c r="F81" s="4"/>
      <c r="G81" s="4"/>
      <c r="H81" s="4"/>
      <c r="I81" s="4"/>
      <c r="J81" s="5"/>
      <c r="K81" s="6">
        <f>IF(C81="Custom Period",IF(OR(E81="C",F81="C"),"C","C"&amp;TEXT(MATCH(E81,Codebook!$H$2:$H$13,0),"00")&amp;TEXT(MATCH(F81,Codebook!$H$2:$H$13,0),"00")),D81)</f>
        <v>0</v>
      </c>
      <c r="L81" s="6" t="str">
        <f>IFERROR(INDEX(Codebook!$D$2:$D$50,MATCH(G81,Codebook!$C$2:$C$50,0)),"")</f>
        <v/>
      </c>
      <c r="M81" s="6" t="str">
        <f>IFERROR(INDEX(Codebook!$F$2:$F$3,MATCH(H81,Codebook!$E$2:$E$3,0)),"")</f>
        <v/>
      </c>
      <c r="N81" s="7" t="str">
        <f t="shared" si="30"/>
        <v/>
      </c>
      <c r="O81" s="6" t="str">
        <f t="shared" si="31"/>
        <v/>
      </c>
      <c r="P81" s="6" t="str">
        <f t="shared" si="32"/>
        <v/>
      </c>
    </row>
    <row r="82" spans="1:16" x14ac:dyDescent="0.35">
      <c r="A82" s="2">
        <v>75</v>
      </c>
      <c r="B82" s="3"/>
      <c r="C82" s="4"/>
      <c r="D82" s="4"/>
      <c r="E82" s="4"/>
      <c r="F82" s="4"/>
      <c r="G82" s="4"/>
      <c r="H82" s="4"/>
      <c r="I82" s="4"/>
      <c r="J82" s="5"/>
      <c r="K82" s="6">
        <f>IF(C82="Custom Period",IF(OR(E82="C",F82="C"),"C","C"&amp;TEXT(MATCH(E82,Codebook!$H$2:$H$13,0),"00")&amp;TEXT(MATCH(F82,Codebook!$H$2:$H$13,0),"00")),D82)</f>
        <v>0</v>
      </c>
      <c r="L82" s="6" t="str">
        <f>IFERROR(INDEX(Codebook!$D$2:$D$50,MATCH(G82,Codebook!$C$2:$C$50,0)),"")</f>
        <v/>
      </c>
      <c r="M82" s="6" t="str">
        <f>IFERROR(INDEX(Codebook!$F$2:$F$3,MATCH(H82,Codebook!$E$2:$E$3,0)),"")</f>
        <v/>
      </c>
      <c r="N82" s="7" t="str">
        <f t="shared" si="30"/>
        <v/>
      </c>
      <c r="O82" s="6" t="str">
        <f t="shared" si="31"/>
        <v/>
      </c>
      <c r="P82" s="6" t="str">
        <f t="shared" si="32"/>
        <v/>
      </c>
    </row>
    <row r="83" spans="1:16" x14ac:dyDescent="0.35">
      <c r="A83" s="2">
        <v>76</v>
      </c>
      <c r="B83" s="3"/>
      <c r="C83" s="4"/>
      <c r="D83" s="4"/>
      <c r="E83" s="4"/>
      <c r="F83" s="4"/>
      <c r="G83" s="4"/>
      <c r="H83" s="4"/>
      <c r="I83" s="4"/>
      <c r="J83" s="5"/>
      <c r="K83" s="6">
        <f>IF(C83="Custom Period",IF(OR(E83="C",F83="C"),"C","C"&amp;TEXT(MATCH(E83,Codebook!$H$2:$H$13,0),"00")&amp;TEXT(MATCH(F83,Codebook!$H$2:$H$13,0),"00")),D83)</f>
        <v>0</v>
      </c>
      <c r="L83" s="6" t="str">
        <f>IFERROR(INDEX(Codebook!$D$2:$D$50,MATCH(G83,Codebook!$C$2:$C$50,0)),"")</f>
        <v/>
      </c>
      <c r="M83" s="6" t="str">
        <f>IFERROR(INDEX(Codebook!$F$2:$F$3,MATCH(H83,Codebook!$E$2:$E$3,0)),"")</f>
        <v/>
      </c>
      <c r="N83" s="7" t="str">
        <f t="shared" si="30"/>
        <v/>
      </c>
      <c r="O83" s="6" t="str">
        <f t="shared" si="31"/>
        <v/>
      </c>
      <c r="P83" s="6" t="str">
        <f t="shared" si="32"/>
        <v/>
      </c>
    </row>
    <row r="84" spans="1:16" x14ac:dyDescent="0.35">
      <c r="A84" s="2">
        <v>77</v>
      </c>
      <c r="B84" s="3"/>
      <c r="C84" s="4"/>
      <c r="D84" s="4"/>
      <c r="E84" s="4"/>
      <c r="F84" s="4"/>
      <c r="G84" s="4"/>
      <c r="H84" s="4"/>
      <c r="I84" s="4"/>
      <c r="J84" s="5"/>
      <c r="K84" s="6">
        <f>IF(C84="Custom Period",IF(OR(E84="C",F84="C"),"C","C"&amp;TEXT(MATCH(E84,Codebook!$H$2:$H$13,0),"00")&amp;TEXT(MATCH(F84,Codebook!$H$2:$H$13,0),"00")),D84)</f>
        <v>0</v>
      </c>
      <c r="L84" s="6" t="str">
        <f>IFERROR(INDEX(Codebook!$D$2:$D$50,MATCH(G84,Codebook!$C$2:$C$50,0)),"")</f>
        <v/>
      </c>
      <c r="M84" s="6" t="str">
        <f>IFERROR(INDEX(Codebook!$F$2:$F$3,MATCH(H84,Codebook!$E$2:$E$3,0)),"")</f>
        <v/>
      </c>
      <c r="N84" s="7" t="str">
        <f t="shared" si="30"/>
        <v/>
      </c>
      <c r="O84" s="6" t="str">
        <f t="shared" si="31"/>
        <v/>
      </c>
      <c r="P84" s="6" t="str">
        <f t="shared" si="32"/>
        <v/>
      </c>
    </row>
    <row r="85" spans="1:16" x14ac:dyDescent="0.35">
      <c r="A85" s="2">
        <v>78</v>
      </c>
      <c r="B85" s="3"/>
      <c r="C85" s="4"/>
      <c r="D85" s="4"/>
      <c r="E85" s="4"/>
      <c r="F85" s="4"/>
      <c r="G85" s="4"/>
      <c r="H85" s="4"/>
      <c r="I85" s="4"/>
      <c r="J85" s="5"/>
      <c r="K85" s="6">
        <f>IF(C85="Custom Period",IF(OR(E85="C",F85="C"),"C","C"&amp;TEXT(MATCH(E85,Codebook!$H$2:$H$13,0),"00")&amp;TEXT(MATCH(F85,Codebook!$H$2:$H$13,0),"00")),D85)</f>
        <v>0</v>
      </c>
      <c r="L85" s="6" t="str">
        <f>IFERROR(INDEX(Codebook!$D$2:$D$50,MATCH(G85,Codebook!$C$2:$C$50,0)),"")</f>
        <v/>
      </c>
      <c r="M85" s="6" t="str">
        <f>IFERROR(INDEX(Codebook!$F$2:$F$3,MATCH(H85,Codebook!$E$2:$E$3,0)),"")</f>
        <v/>
      </c>
      <c r="N85" s="7" t="str">
        <f t="shared" si="30"/>
        <v/>
      </c>
      <c r="O85" s="6" t="str">
        <f t="shared" si="31"/>
        <v/>
      </c>
      <c r="P85" s="6" t="str">
        <f t="shared" si="32"/>
        <v/>
      </c>
    </row>
    <row r="86" spans="1:16" x14ac:dyDescent="0.35">
      <c r="A86" s="2">
        <v>79</v>
      </c>
      <c r="B86" s="3"/>
      <c r="C86" s="4"/>
      <c r="D86" s="4"/>
      <c r="E86" s="4"/>
      <c r="F86" s="4"/>
      <c r="G86" s="4"/>
      <c r="H86" s="4"/>
      <c r="I86" s="4"/>
      <c r="J86" s="5"/>
      <c r="K86" s="6">
        <f>IF(C86="Custom Period",IF(OR(E86="C",F86="C"),"C","C"&amp;TEXT(MATCH(E86,Codebook!$H$2:$H$13,0),"00")&amp;TEXT(MATCH(F86,Codebook!$H$2:$H$13,0),"00")),D86)</f>
        <v>0</v>
      </c>
      <c r="L86" s="6" t="str">
        <f>IFERROR(INDEX(Codebook!$D$2:$D$50,MATCH(G86,Codebook!$C$2:$C$50,0)),"")</f>
        <v/>
      </c>
      <c r="M86" s="6" t="str">
        <f>IFERROR(INDEX(Codebook!$F$2:$F$3,MATCH(H86,Codebook!$E$2:$E$3,0)),"")</f>
        <v/>
      </c>
      <c r="N86" s="7" t="str">
        <f t="shared" si="30"/>
        <v/>
      </c>
      <c r="O86" s="6" t="str">
        <f t="shared" si="31"/>
        <v/>
      </c>
      <c r="P86" s="6" t="str">
        <f t="shared" si="32"/>
        <v/>
      </c>
    </row>
    <row r="87" spans="1:16" x14ac:dyDescent="0.35">
      <c r="A87" s="2">
        <v>80</v>
      </c>
      <c r="B87" s="3"/>
      <c r="C87" s="4"/>
      <c r="D87" s="4"/>
      <c r="E87" s="4"/>
      <c r="F87" s="4"/>
      <c r="G87" s="4"/>
      <c r="H87" s="4"/>
      <c r="I87" s="4"/>
      <c r="J87" s="5"/>
      <c r="K87" s="6">
        <f>IF(C87="Custom Period",IF(OR(E87="C",F87="C"),"C","C"&amp;TEXT(MATCH(E87,Codebook!$H$2:$H$13,0),"00")&amp;TEXT(MATCH(F87,Codebook!$H$2:$H$13,0),"00")),D87)</f>
        <v>0</v>
      </c>
      <c r="L87" s="6" t="str">
        <f>IFERROR(INDEX(Codebook!$D$2:$D$50,MATCH(G87,Codebook!$C$2:$C$50,0)),"")</f>
        <v/>
      </c>
      <c r="M87" s="6" t="str">
        <f>IFERROR(INDEX(Codebook!$F$2:$F$3,MATCH(H87,Codebook!$E$2:$E$3,0)),"")</f>
        <v/>
      </c>
      <c r="N87" s="7" t="str">
        <f t="shared" si="30"/>
        <v/>
      </c>
      <c r="O87" s="6" t="str">
        <f t="shared" si="31"/>
        <v/>
      </c>
      <c r="P87" s="6" t="str">
        <f t="shared" si="32"/>
        <v/>
      </c>
    </row>
    <row r="88" spans="1:16" x14ac:dyDescent="0.35">
      <c r="A88" s="2">
        <v>81</v>
      </c>
      <c r="B88" s="3"/>
      <c r="C88" s="4"/>
      <c r="D88" s="4"/>
      <c r="E88" s="4"/>
      <c r="F88" s="4"/>
      <c r="G88" s="4"/>
      <c r="H88" s="4"/>
      <c r="I88" s="4"/>
      <c r="J88" s="5"/>
      <c r="K88" s="6">
        <f>IF(C88="Custom Period",IF(OR(E88="C",F88="C"),"C","C"&amp;TEXT(MATCH(E88,Codebook!$H$2:$H$13,0),"00")&amp;TEXT(MATCH(F88,Codebook!$H$2:$H$13,0),"00")),D88)</f>
        <v>0</v>
      </c>
      <c r="L88" s="6" t="str">
        <f>IFERROR(INDEX(Codebook!$D$2:$D$50,MATCH(G88,Codebook!$C$2:$C$50,0)),"")</f>
        <v/>
      </c>
      <c r="M88" s="6" t="str">
        <f>IFERROR(INDEX(Codebook!$F$2:$F$3,MATCH(H88,Codebook!$E$2:$E$3,0)),"")</f>
        <v/>
      </c>
      <c r="N88" s="7" t="str">
        <f t="shared" si="30"/>
        <v/>
      </c>
      <c r="O88" s="6" t="str">
        <f t="shared" si="31"/>
        <v/>
      </c>
      <c r="P88" s="6" t="str">
        <f t="shared" si="32"/>
        <v/>
      </c>
    </row>
    <row r="89" spans="1:16" x14ac:dyDescent="0.35">
      <c r="A89" s="2">
        <v>82</v>
      </c>
      <c r="B89" s="3"/>
      <c r="C89" s="4"/>
      <c r="D89" s="4"/>
      <c r="E89" s="4"/>
      <c r="F89" s="4"/>
      <c r="G89" s="4"/>
      <c r="H89" s="4"/>
      <c r="I89" s="4"/>
      <c r="J89" s="5"/>
      <c r="K89" s="6">
        <f>IF(C89="Custom Period",IF(OR(E89="C",F89="C"),"C","C"&amp;TEXT(MATCH(E89,Codebook!$H$2:$H$13,0),"00")&amp;TEXT(MATCH(F89,Codebook!$H$2:$H$13,0),"00")),D89)</f>
        <v>0</v>
      </c>
      <c r="L89" s="6" t="str">
        <f>IFERROR(INDEX(Codebook!$D$2:$D$50,MATCH(G89,Codebook!$C$2:$C$50,0)),"")</f>
        <v/>
      </c>
      <c r="M89" s="6" t="str">
        <f>IFERROR(INDEX(Codebook!$F$2:$F$3,MATCH(H89,Codebook!$E$2:$E$3,0)),"")</f>
        <v/>
      </c>
      <c r="N89" s="7" t="str">
        <f t="shared" si="30"/>
        <v/>
      </c>
      <c r="O89" s="6" t="str">
        <f t="shared" si="31"/>
        <v/>
      </c>
      <c r="P89" s="6" t="str">
        <f t="shared" si="32"/>
        <v/>
      </c>
    </row>
    <row r="90" spans="1:16" x14ac:dyDescent="0.35">
      <c r="A90" s="2">
        <v>83</v>
      </c>
      <c r="B90" s="3"/>
      <c r="C90" s="4"/>
      <c r="D90" s="4"/>
      <c r="E90" s="4"/>
      <c r="F90" s="4"/>
      <c r="G90" s="4"/>
      <c r="H90" s="4"/>
      <c r="I90" s="4"/>
      <c r="J90" s="5"/>
      <c r="K90" s="6">
        <f>IF(C90="Custom Period",IF(OR(E90="C",F90="C"),"C","C"&amp;TEXT(MATCH(E90,Codebook!$H$2:$H$13,0),"00")&amp;TEXT(MATCH(F90,Codebook!$H$2:$H$13,0),"00")),D90)</f>
        <v>0</v>
      </c>
      <c r="L90" s="6" t="str">
        <f>IFERROR(INDEX(Codebook!$D$2:$D$50,MATCH(G90,Codebook!$C$2:$C$50,0)),"")</f>
        <v/>
      </c>
      <c r="M90" s="6" t="str">
        <f>IFERROR(INDEX(Codebook!$F$2:$F$3,MATCH(H90,Codebook!$E$2:$E$3,0)),"")</f>
        <v/>
      </c>
      <c r="N90" s="7" t="str">
        <f t="shared" si="30"/>
        <v/>
      </c>
      <c r="O90" s="6" t="str">
        <f t="shared" si="31"/>
        <v/>
      </c>
      <c r="P90" s="6" t="str">
        <f t="shared" si="32"/>
        <v/>
      </c>
    </row>
    <row r="91" spans="1:16" x14ac:dyDescent="0.35">
      <c r="A91" s="2">
        <v>84</v>
      </c>
      <c r="B91" s="3"/>
      <c r="C91" s="4"/>
      <c r="D91" s="4"/>
      <c r="E91" s="4"/>
      <c r="F91" s="4"/>
      <c r="G91" s="4"/>
      <c r="H91" s="4"/>
      <c r="I91" s="4"/>
      <c r="J91" s="5"/>
      <c r="K91" s="6">
        <f>IF(C91="Custom Period",IF(OR(E91="C",F91="C"),"C","C"&amp;TEXT(MATCH(E91,Codebook!$H$2:$H$13,0),"00")&amp;TEXT(MATCH(F91,Codebook!$H$2:$H$13,0),"00")),D91)</f>
        <v>0</v>
      </c>
      <c r="L91" s="6" t="str">
        <f>IFERROR(INDEX(Codebook!$D$2:$D$50,MATCH(G91,Codebook!$C$2:$C$50,0)),"")</f>
        <v/>
      </c>
      <c r="M91" s="6" t="str">
        <f>IFERROR(INDEX(Codebook!$F$2:$F$3,MATCH(H91,Codebook!$E$2:$E$3,0)),"")</f>
        <v/>
      </c>
      <c r="N91" s="7" t="str">
        <f t="shared" si="30"/>
        <v/>
      </c>
      <c r="O91" s="6" t="str">
        <f t="shared" si="31"/>
        <v/>
      </c>
      <c r="P91" s="6" t="str">
        <f t="shared" si="32"/>
        <v/>
      </c>
    </row>
    <row r="92" spans="1:16" x14ac:dyDescent="0.35">
      <c r="A92" s="2">
        <v>85</v>
      </c>
      <c r="B92" s="3"/>
      <c r="C92" s="4"/>
      <c r="D92" s="4"/>
      <c r="E92" s="4"/>
      <c r="F92" s="4"/>
      <c r="G92" s="4"/>
      <c r="H92" s="4"/>
      <c r="I92" s="4"/>
      <c r="J92" s="5"/>
      <c r="K92" s="6">
        <f>IF(C92="Custom Period",IF(OR(E92="C",F92="C"),"C","C"&amp;TEXT(MATCH(E92,Codebook!$H$2:$H$13,0),"00")&amp;TEXT(MATCH(F92,Codebook!$H$2:$H$13,0),"00")),D92)</f>
        <v>0</v>
      </c>
      <c r="L92" s="6" t="str">
        <f>IFERROR(INDEX(Codebook!$D$2:$D$50,MATCH(G92,Codebook!$C$2:$C$50,0)),"")</f>
        <v/>
      </c>
      <c r="M92" s="6" t="str">
        <f>IFERROR(INDEX(Codebook!$F$2:$F$3,MATCH(H92,Codebook!$E$2:$E$3,0)),"")</f>
        <v/>
      </c>
      <c r="N92" s="7" t="str">
        <f t="shared" si="30"/>
        <v/>
      </c>
      <c r="O92" s="6" t="str">
        <f t="shared" si="31"/>
        <v/>
      </c>
      <c r="P92" s="6" t="str">
        <f t="shared" si="32"/>
        <v/>
      </c>
    </row>
    <row r="93" spans="1:16" x14ac:dyDescent="0.35">
      <c r="A93" s="2">
        <v>86</v>
      </c>
      <c r="B93" s="3"/>
      <c r="C93" s="4"/>
      <c r="D93" s="4"/>
      <c r="E93" s="4"/>
      <c r="F93" s="4"/>
      <c r="G93" s="4"/>
      <c r="H93" s="4"/>
      <c r="I93" s="4"/>
      <c r="J93" s="5"/>
      <c r="K93" s="6">
        <f>IF(C93="Custom Period",IF(OR(E93="C",F93="C"),"C","C"&amp;TEXT(MATCH(E93,Codebook!$H$2:$H$13,0),"00")&amp;TEXT(MATCH(F93,Codebook!$H$2:$H$13,0),"00")),D93)</f>
        <v>0</v>
      </c>
      <c r="L93" s="6" t="str">
        <f>IFERROR(INDEX(Codebook!$D$2:$D$50,MATCH(G93,Codebook!$C$2:$C$50,0)),"")</f>
        <v/>
      </c>
      <c r="M93" s="6" t="str">
        <f>IFERROR(INDEX(Codebook!$F$2:$F$3,MATCH(H93,Codebook!$E$2:$E$3,0)),"")</f>
        <v/>
      </c>
      <c r="N93" s="7" t="str">
        <f t="shared" si="30"/>
        <v/>
      </c>
      <c r="O93" s="6" t="str">
        <f t="shared" si="31"/>
        <v/>
      </c>
      <c r="P93" s="6" t="str">
        <f t="shared" si="32"/>
        <v/>
      </c>
    </row>
    <row r="94" spans="1:16" x14ac:dyDescent="0.35">
      <c r="A94" s="2">
        <v>87</v>
      </c>
      <c r="B94" s="3"/>
      <c r="C94" s="4"/>
      <c r="D94" s="4"/>
      <c r="E94" s="4"/>
      <c r="F94" s="4"/>
      <c r="G94" s="4"/>
      <c r="H94" s="4"/>
      <c r="I94" s="4"/>
      <c r="J94" s="5"/>
      <c r="K94" s="6">
        <f>IF(C94="Custom Period",IF(OR(E94="C",F94="C"),"C","C"&amp;TEXT(MATCH(E94,Codebook!$H$2:$H$13,0),"00")&amp;TEXT(MATCH(F94,Codebook!$H$2:$H$13,0),"00")),D94)</f>
        <v>0</v>
      </c>
      <c r="L94" s="6" t="str">
        <f>IFERROR(INDEX(Codebook!$D$2:$D$50,MATCH(G94,Codebook!$C$2:$C$50,0)),"")</f>
        <v/>
      </c>
      <c r="M94" s="6" t="str">
        <f>IFERROR(INDEX(Codebook!$F$2:$F$3,MATCH(H94,Codebook!$E$2:$E$3,0)),"")</f>
        <v/>
      </c>
      <c r="N94" s="7" t="str">
        <f t="shared" si="30"/>
        <v/>
      </c>
      <c r="O94" s="6" t="str">
        <f t="shared" si="31"/>
        <v/>
      </c>
      <c r="P94" s="6" t="str">
        <f t="shared" si="32"/>
        <v/>
      </c>
    </row>
    <row r="95" spans="1:16" x14ac:dyDescent="0.35">
      <c r="A95" s="2">
        <v>88</v>
      </c>
      <c r="B95" s="3"/>
      <c r="C95" s="4"/>
      <c r="D95" s="4"/>
      <c r="E95" s="4"/>
      <c r="F95" s="4"/>
      <c r="G95" s="4"/>
      <c r="H95" s="4"/>
      <c r="I95" s="4"/>
      <c r="J95" s="5"/>
      <c r="K95" s="6">
        <f>IF(C95="Custom Period",IF(OR(E95="C",F95="C"),"C","C"&amp;TEXT(MATCH(E95,Codebook!$H$2:$H$13,0),"00")&amp;TEXT(MATCH(F95,Codebook!$H$2:$H$13,0),"00")),D95)</f>
        <v>0</v>
      </c>
      <c r="L95" s="6" t="str">
        <f>IFERROR(INDEX(Codebook!$D$2:$D$50,MATCH(G95,Codebook!$C$2:$C$50,0)),"")</f>
        <v/>
      </c>
      <c r="M95" s="6" t="str">
        <f>IFERROR(INDEX(Codebook!$F$2:$F$3,MATCH(H95,Codebook!$E$2:$E$3,0)),"")</f>
        <v/>
      </c>
      <c r="N95" s="7" t="str">
        <f t="shared" si="30"/>
        <v/>
      </c>
      <c r="O95" s="6" t="str">
        <f t="shared" si="31"/>
        <v/>
      </c>
      <c r="P95" s="6" t="str">
        <f t="shared" si="32"/>
        <v/>
      </c>
    </row>
    <row r="96" spans="1:16" x14ac:dyDescent="0.35">
      <c r="A96" s="2">
        <v>89</v>
      </c>
      <c r="B96" s="3"/>
      <c r="C96" s="4"/>
      <c r="D96" s="4"/>
      <c r="E96" s="4"/>
      <c r="F96" s="4"/>
      <c r="G96" s="4"/>
      <c r="H96" s="4"/>
      <c r="I96" s="4"/>
      <c r="J96" s="5"/>
      <c r="K96" s="6">
        <f>IF(C96="Custom Period",IF(OR(E96="C",F96="C"),"C","C"&amp;TEXT(MATCH(E96,Codebook!$H$2:$H$13,0),"00")&amp;TEXT(MATCH(F96,Codebook!$H$2:$H$13,0),"00")),D96)</f>
        <v>0</v>
      </c>
      <c r="L96" s="6" t="str">
        <f>IFERROR(INDEX(Codebook!$D$2:$D$50,MATCH(G96,Codebook!$C$2:$C$50,0)),"")</f>
        <v/>
      </c>
      <c r="M96" s="6" t="str">
        <f>IFERROR(INDEX(Codebook!$F$2:$F$3,MATCH(H96,Codebook!$E$2:$E$3,0)),"")</f>
        <v/>
      </c>
      <c r="N96" s="7" t="str">
        <f t="shared" si="30"/>
        <v/>
      </c>
      <c r="O96" s="6" t="str">
        <f t="shared" si="31"/>
        <v/>
      </c>
      <c r="P96" s="6" t="str">
        <f t="shared" si="32"/>
        <v/>
      </c>
    </row>
    <row r="97" spans="1:16" x14ac:dyDescent="0.35">
      <c r="A97" s="2">
        <v>90</v>
      </c>
      <c r="B97" s="3"/>
      <c r="C97" s="4"/>
      <c r="D97" s="4"/>
      <c r="E97" s="4"/>
      <c r="F97" s="4"/>
      <c r="G97" s="4"/>
      <c r="H97" s="4"/>
      <c r="I97" s="4"/>
      <c r="J97" s="5"/>
      <c r="K97" s="6">
        <f>IF(C97="Custom Period",IF(OR(E97="C",F97="C"),"C","C"&amp;TEXT(MATCH(E97,Codebook!$H$2:$H$13,0),"00")&amp;TEXT(MATCH(F97,Codebook!$H$2:$H$13,0),"00")),D97)</f>
        <v>0</v>
      </c>
      <c r="L97" s="6" t="str">
        <f>IFERROR(INDEX(Codebook!$D$2:$D$50,MATCH(G97,Codebook!$C$2:$C$50,0)),"")</f>
        <v/>
      </c>
      <c r="M97" s="6" t="str">
        <f>IFERROR(INDEX(Codebook!$F$2:$F$3,MATCH(H97,Codebook!$E$2:$E$3,0)),"")</f>
        <v/>
      </c>
      <c r="N97" s="7" t="str">
        <f t="shared" si="30"/>
        <v/>
      </c>
      <c r="O97" s="6" t="str">
        <f t="shared" si="31"/>
        <v/>
      </c>
      <c r="P97" s="6" t="str">
        <f t="shared" si="32"/>
        <v/>
      </c>
    </row>
    <row r="98" spans="1:16" x14ac:dyDescent="0.35">
      <c r="A98" s="2">
        <v>91</v>
      </c>
      <c r="B98" s="3"/>
      <c r="C98" s="4"/>
      <c r="D98" s="4"/>
      <c r="E98" s="4"/>
      <c r="F98" s="4"/>
      <c r="G98" s="4"/>
      <c r="H98" s="4"/>
      <c r="I98" s="4"/>
      <c r="J98" s="5"/>
      <c r="K98" s="6">
        <f>IF(C98="Custom Period",IF(OR(E98="C",F98="C"),"C","C"&amp;TEXT(MATCH(E98,Codebook!$H$2:$H$13,0),"00")&amp;TEXT(MATCH(F98,Codebook!$H$2:$H$13,0),"00")),D98)</f>
        <v>0</v>
      </c>
      <c r="L98" s="6" t="str">
        <f>IFERROR(INDEX(Codebook!$D$2:$D$50,MATCH(G98,Codebook!$C$2:$C$50,0)),"")</f>
        <v/>
      </c>
      <c r="M98" s="6" t="str">
        <f>IFERROR(INDEX(Codebook!$F$2:$F$3,MATCH(H98,Codebook!$E$2:$E$3,0)),"")</f>
        <v/>
      </c>
      <c r="N98" s="7" t="str">
        <f t="shared" si="30"/>
        <v/>
      </c>
      <c r="O98" s="6" t="str">
        <f t="shared" si="31"/>
        <v/>
      </c>
      <c r="P98" s="6" t="str">
        <f t="shared" si="32"/>
        <v/>
      </c>
    </row>
    <row r="99" spans="1:16" x14ac:dyDescent="0.35">
      <c r="A99" s="2">
        <v>92</v>
      </c>
      <c r="B99" s="3"/>
      <c r="C99" s="4"/>
      <c r="D99" s="4"/>
      <c r="E99" s="4"/>
      <c r="F99" s="4"/>
      <c r="G99" s="4"/>
      <c r="H99" s="4"/>
      <c r="I99" s="4"/>
      <c r="J99" s="5"/>
      <c r="K99" s="6">
        <f>IF(C99="Custom Period",IF(OR(E99="C",F99="C"),"C","C"&amp;TEXT(MATCH(E99,Codebook!$H$2:$H$13,0),"00")&amp;TEXT(MATCH(F99,Codebook!$H$2:$H$13,0),"00")),D99)</f>
        <v>0</v>
      </c>
      <c r="L99" s="6" t="str">
        <f>IFERROR(INDEX(Codebook!$D$2:$D$50,MATCH(G99,Codebook!$C$2:$C$50,0)),"")</f>
        <v/>
      </c>
      <c r="M99" s="6" t="str">
        <f>IFERROR(INDEX(Codebook!$F$2:$F$3,MATCH(H99,Codebook!$E$2:$E$3,0)),"")</f>
        <v/>
      </c>
      <c r="N99" s="7" t="str">
        <f t="shared" si="30"/>
        <v/>
      </c>
      <c r="O99" s="6" t="str">
        <f t="shared" si="31"/>
        <v/>
      </c>
      <c r="P99" s="6" t="str">
        <f t="shared" si="32"/>
        <v/>
      </c>
    </row>
    <row r="100" spans="1:16" x14ac:dyDescent="0.35">
      <c r="A100" s="2">
        <v>93</v>
      </c>
      <c r="B100" s="3"/>
      <c r="C100" s="4"/>
      <c r="D100" s="4"/>
      <c r="E100" s="4"/>
      <c r="F100" s="4"/>
      <c r="G100" s="4"/>
      <c r="H100" s="4"/>
      <c r="I100" s="4"/>
      <c r="J100" s="5"/>
      <c r="K100" s="6">
        <f>IF(C100="Custom Period",IF(OR(E100="C",F100="C"),"C","C"&amp;TEXT(MATCH(E100,Codebook!$H$2:$H$13,0),"00")&amp;TEXT(MATCH(F100,Codebook!$H$2:$H$13,0),"00")),D100)</f>
        <v>0</v>
      </c>
      <c r="L100" s="6" t="str">
        <f>IFERROR(INDEX(Codebook!$D$2:$D$50,MATCH(G100,Codebook!$C$2:$C$50,0)),"")</f>
        <v/>
      </c>
      <c r="M100" s="6" t="str">
        <f>IFERROR(INDEX(Codebook!$F$2:$F$3,MATCH(H100,Codebook!$E$2:$E$3,0)),"")</f>
        <v/>
      </c>
      <c r="N100" s="7" t="str">
        <f t="shared" si="30"/>
        <v/>
      </c>
      <c r="O100" s="6" t="str">
        <f t="shared" si="31"/>
        <v/>
      </c>
      <c r="P100" s="6" t="str">
        <f t="shared" si="32"/>
        <v/>
      </c>
    </row>
    <row r="101" spans="1:16" x14ac:dyDescent="0.35">
      <c r="A101" s="2">
        <v>94</v>
      </c>
      <c r="B101" s="3"/>
      <c r="C101" s="4"/>
      <c r="D101" s="4"/>
      <c r="E101" s="4"/>
      <c r="F101" s="4"/>
      <c r="G101" s="4"/>
      <c r="H101" s="4"/>
      <c r="I101" s="4"/>
      <c r="J101" s="5"/>
      <c r="K101" s="6">
        <f>IF(C101="Custom Period",IF(OR(E101="C",F101="C"),"C","C"&amp;TEXT(MATCH(E101,Codebook!$H$2:$H$13,0),"00")&amp;TEXT(MATCH(F101,Codebook!$H$2:$H$13,0),"00")),D101)</f>
        <v>0</v>
      </c>
      <c r="L101" s="6" t="str">
        <f>IFERROR(INDEX(Codebook!$D$2:$D$50,MATCH(G101,Codebook!$C$2:$C$50,0)),"")</f>
        <v/>
      </c>
      <c r="M101" s="6" t="str">
        <f>IFERROR(INDEX(Codebook!$F$2:$F$3,MATCH(H101,Codebook!$E$2:$E$3,0)),"")</f>
        <v/>
      </c>
      <c r="N101" s="7" t="str">
        <f t="shared" si="30"/>
        <v/>
      </c>
      <c r="O101" s="6" t="str">
        <f t="shared" si="31"/>
        <v/>
      </c>
      <c r="P101" s="6" t="str">
        <f t="shared" si="32"/>
        <v/>
      </c>
    </row>
    <row r="102" spans="1:16" x14ac:dyDescent="0.35">
      <c r="A102" s="2">
        <v>95</v>
      </c>
      <c r="B102" s="3"/>
      <c r="C102" s="4"/>
      <c r="D102" s="4"/>
      <c r="E102" s="4"/>
      <c r="F102" s="4"/>
      <c r="G102" s="4"/>
      <c r="H102" s="4"/>
      <c r="I102" s="4"/>
      <c r="J102" s="5"/>
      <c r="K102" s="6">
        <f>IF(C102="Custom Period",IF(OR(E102="C",F102="C"),"C","C"&amp;TEXT(MATCH(E102,Codebook!$H$2:$H$13,0),"00")&amp;TEXT(MATCH(F102,Codebook!$H$2:$H$13,0),"00")),D102)</f>
        <v>0</v>
      </c>
      <c r="L102" s="6" t="str">
        <f>IFERROR(INDEX(Codebook!$D$2:$D$50,MATCH(G102,Codebook!$C$2:$C$50,0)),"")</f>
        <v/>
      </c>
      <c r="M102" s="6" t="str">
        <f>IFERROR(INDEX(Codebook!$F$2:$F$3,MATCH(H102,Codebook!$E$2:$E$3,0)),"")</f>
        <v/>
      </c>
      <c r="N102" s="7" t="str">
        <f t="shared" si="30"/>
        <v/>
      </c>
      <c r="O102" s="6" t="str">
        <f t="shared" si="31"/>
        <v/>
      </c>
      <c r="P102" s="6" t="str">
        <f t="shared" si="32"/>
        <v/>
      </c>
    </row>
    <row r="103" spans="1:16" x14ac:dyDescent="0.35">
      <c r="A103" s="2">
        <v>96</v>
      </c>
      <c r="B103" s="3"/>
      <c r="C103" s="4"/>
      <c r="D103" s="4"/>
      <c r="E103" s="4"/>
      <c r="F103" s="4"/>
      <c r="G103" s="4"/>
      <c r="H103" s="4"/>
      <c r="I103" s="4"/>
      <c r="J103" s="5"/>
      <c r="K103" s="6">
        <f>IF(C103="Custom Period",IF(OR(E103="C",F103="C"),"C","C"&amp;TEXT(MATCH(E103,Codebook!$H$2:$H$13,0),"00")&amp;TEXT(MATCH(F103,Codebook!$H$2:$H$13,0),"00")),D103)</f>
        <v>0</v>
      </c>
      <c r="L103" s="6" t="str">
        <f>IFERROR(INDEX(Codebook!$D$2:$D$50,MATCH(G103,Codebook!$C$2:$C$50,0)),"")</f>
        <v/>
      </c>
      <c r="M103" s="6" t="str">
        <f>IFERROR(INDEX(Codebook!$F$2:$F$3,MATCH(H103,Codebook!$E$2:$E$3,0)),"")</f>
        <v/>
      </c>
      <c r="N103" s="7" t="str">
        <f t="shared" si="30"/>
        <v/>
      </c>
      <c r="O103" s="6" t="str">
        <f t="shared" si="31"/>
        <v/>
      </c>
      <c r="P103" s="6" t="str">
        <f t="shared" si="32"/>
        <v/>
      </c>
    </row>
    <row r="104" spans="1:16" x14ac:dyDescent="0.35">
      <c r="A104" s="2">
        <v>97</v>
      </c>
      <c r="B104" s="3"/>
      <c r="C104" s="4"/>
      <c r="D104" s="4"/>
      <c r="E104" s="4"/>
      <c r="F104" s="4"/>
      <c r="G104" s="4"/>
      <c r="H104" s="4"/>
      <c r="I104" s="4"/>
      <c r="J104" s="5"/>
      <c r="K104" s="6">
        <f>IF(C104="Custom Period",IF(OR(E104="C",F104="C"),"C","C"&amp;TEXT(MATCH(E104,Codebook!$H$2:$H$13,0),"00")&amp;TEXT(MATCH(F104,Codebook!$H$2:$H$13,0),"00")),D104)</f>
        <v>0</v>
      </c>
      <c r="L104" s="6" t="str">
        <f>IFERROR(INDEX(Codebook!$D$2:$D$50,MATCH(G104,Codebook!$C$2:$C$50,0)),"")</f>
        <v/>
      </c>
      <c r="M104" s="6" t="str">
        <f>IFERROR(INDEX(Codebook!$F$2:$F$3,MATCH(H104,Codebook!$E$2:$E$3,0)),"")</f>
        <v/>
      </c>
      <c r="N104" s="7" t="str">
        <f t="shared" ref="N104:N107" si="33">IF(OR(B104="",K104="",L104="",M104="",I104="",J104=""),"",RIGHT(B104,2)&amp;K104&amp;"-"&amp;L104&amp;M104&amp;I104&amp;"-"&amp;J104)</f>
        <v/>
      </c>
      <c r="O104" s="6" t="str">
        <f t="shared" ref="O104:O107" si="34">IF(N104="","",LEN(N104))</f>
        <v/>
      </c>
      <c r="P104" s="6" t="str">
        <f t="shared" ref="P104:P107" si="35">IF(COUNTA(B104:J104)=0,"",IF(AND(LEFT(B104,3)="FY ",LEN(B104)=10,LEN(I104&amp;"")=1,LEN(J104&amp;"")=7,O104&lt;=20,OR(AND(C104="Custom Period",E104&lt;&gt;"",F104&lt;&gt;""),AND(C104="Monthly",LEFT(D104,1)="M"),AND(C104="Quarterly",LEFT(D104,1)="Q"),AND(C104="Half Yearly",LEFT(D104,1)="H"),AND(C104="Annual",D104="AN"))),"OK","CHECK INPUT"))</f>
        <v/>
      </c>
    </row>
    <row r="105" spans="1:16" x14ac:dyDescent="0.35">
      <c r="A105" s="2">
        <v>98</v>
      </c>
      <c r="B105" s="3"/>
      <c r="C105" s="4"/>
      <c r="D105" s="4"/>
      <c r="E105" s="4"/>
      <c r="F105" s="4"/>
      <c r="G105" s="4"/>
      <c r="H105" s="4"/>
      <c r="I105" s="4"/>
      <c r="J105" s="5"/>
      <c r="K105" s="6">
        <f>IF(C105="Custom Period",IF(OR(E105="C",F105="C"),"C","C"&amp;TEXT(MATCH(E105,Codebook!$H$2:$H$13,0),"00")&amp;TEXT(MATCH(F105,Codebook!$H$2:$H$13,0),"00")),D105)</f>
        <v>0</v>
      </c>
      <c r="L105" s="6" t="str">
        <f>IFERROR(INDEX(Codebook!$D$2:$D$50,MATCH(G105,Codebook!$C$2:$C$50,0)),"")</f>
        <v/>
      </c>
      <c r="M105" s="6" t="str">
        <f>IFERROR(INDEX(Codebook!$F$2:$F$3,MATCH(H105,Codebook!$E$2:$E$3,0)),"")</f>
        <v/>
      </c>
      <c r="N105" s="7" t="str">
        <f t="shared" si="33"/>
        <v/>
      </c>
      <c r="O105" s="6" t="str">
        <f t="shared" si="34"/>
        <v/>
      </c>
      <c r="P105" s="6" t="str">
        <f t="shared" si="35"/>
        <v/>
      </c>
    </row>
    <row r="106" spans="1:16" x14ac:dyDescent="0.35">
      <c r="A106" s="2">
        <v>99</v>
      </c>
      <c r="B106" s="3"/>
      <c r="C106" s="4"/>
      <c r="D106" s="4"/>
      <c r="E106" s="4"/>
      <c r="F106" s="4"/>
      <c r="G106" s="4"/>
      <c r="H106" s="4"/>
      <c r="I106" s="4"/>
      <c r="J106" s="5"/>
      <c r="K106" s="6">
        <f>IF(C106="Custom Period",IF(OR(E106="C",F106="C"),"C","C"&amp;TEXT(MATCH(E106,Codebook!$H$2:$H$13,0),"00")&amp;TEXT(MATCH(F106,Codebook!$H$2:$H$13,0),"00")),D106)</f>
        <v>0</v>
      </c>
      <c r="L106" s="6" t="str">
        <f>IFERROR(INDEX(Codebook!$D$2:$D$50,MATCH(G106,Codebook!$C$2:$C$50,0)),"")</f>
        <v/>
      </c>
      <c r="M106" s="6" t="str">
        <f>IFERROR(INDEX(Codebook!$F$2:$F$3,MATCH(H106,Codebook!$E$2:$E$3,0)),"")</f>
        <v/>
      </c>
      <c r="N106" s="7" t="str">
        <f t="shared" si="33"/>
        <v/>
      </c>
      <c r="O106" s="6" t="str">
        <f t="shared" si="34"/>
        <v/>
      </c>
      <c r="P106" s="6" t="str">
        <f t="shared" si="35"/>
        <v/>
      </c>
    </row>
    <row r="107" spans="1:16" x14ac:dyDescent="0.35">
      <c r="A107" s="2">
        <v>100</v>
      </c>
      <c r="B107" s="3"/>
      <c r="C107" s="4"/>
      <c r="D107" s="4"/>
      <c r="E107" s="4"/>
      <c r="F107" s="4"/>
      <c r="G107" s="4"/>
      <c r="H107" s="4"/>
      <c r="I107" s="4"/>
      <c r="J107" s="5"/>
      <c r="K107" s="6">
        <f>IF(C107="Custom Period",IF(OR(E107="C",F107="C"),"C","C"&amp;TEXT(MATCH(E107,Codebook!$H$2:$H$13,0),"00")&amp;TEXT(MATCH(F107,Codebook!$H$2:$H$13,0),"00")),D107)</f>
        <v>0</v>
      </c>
      <c r="L107" s="6" t="str">
        <f>IFERROR(INDEX(Codebook!$D$2:$D$50,MATCH(G107,Codebook!$C$2:$C$50,0)),"")</f>
        <v/>
      </c>
      <c r="M107" s="6" t="str">
        <f>IFERROR(INDEX(Codebook!$F$2:$F$3,MATCH(H107,Codebook!$E$2:$E$3,0)),"")</f>
        <v/>
      </c>
      <c r="N107" s="7" t="str">
        <f t="shared" si="33"/>
        <v/>
      </c>
      <c r="O107" s="6" t="str">
        <f t="shared" si="34"/>
        <v/>
      </c>
      <c r="P107" s="6" t="str">
        <f t="shared" si="35"/>
        <v/>
      </c>
    </row>
  </sheetData>
  <mergeCells count="4">
    <mergeCell ref="A1:P1"/>
    <mergeCell ref="A4:P4"/>
    <mergeCell ref="A3:P3"/>
    <mergeCell ref="A2:P2"/>
  </mergeCells>
  <conditionalFormatting sqref="O7:O107">
    <cfRule type="expression" dxfId="3" priority="3">
      <formula>O7&gt;20</formula>
    </cfRule>
  </conditionalFormatting>
  <conditionalFormatting sqref="P7:P107">
    <cfRule type="expression" dxfId="2" priority="1">
      <formula>P7="OK"</formula>
    </cfRule>
    <cfRule type="expression" dxfId="1" priority="2">
      <formula>P7="CHECK INPUT"</formula>
    </cfRule>
  </conditionalFormatting>
  <dataValidations count="7">
    <dataValidation type="list" allowBlank="1" errorTitle="Invalid Selection" error="Please select a value from the dropdown." promptTitle="Select from list" prompt="Select the period type." sqref="C7:C107" xr:uid="{00000000-0002-0000-0000-000000000000}">
      <formula1>PeriodTypes</formula1>
    </dataValidation>
    <dataValidation type="list" allowBlank="1" errorTitle="Invalid Selection" error="Please select a value from the dropdown." promptTitle="Select from list" prompt="Use only for Monthly / Quarterly / Half Yearly / Annual." sqref="D7:D107" xr:uid="{00000000-0002-0000-0000-000001000000}">
      <formula1>StandardPeriods</formula1>
    </dataValidation>
    <dataValidation type="list" allowBlank="1" errorTitle="Invalid Selection" error="Please select a value from the dropdown." promptTitle="Select from list" prompt="Use for Custom Period only." sqref="E7:F107" xr:uid="{00000000-0002-0000-0000-000002000000}">
      <formula1>Months</formula1>
    </dataValidation>
    <dataValidation type="list" allowBlank="1" errorTitle="Invalid Selection" error="Please select a value from the dropdown." promptTitle="Select from list" prompt="Select Value Based or Quantity Based." sqref="H7:H107" xr:uid="{00000000-0002-0000-0000-000005000000}">
      <formula1>SchemeBases</formula1>
    </dataValidation>
    <dataValidation type="list" allowBlank="1" errorTitle="Invalid Selection" error="Please select a value from the dropdown." promptTitle="Select from list" prompt="Use a different 1-character sequence when the same scheme combination repeats." sqref="I7:I107" xr:uid="{00000000-0002-0000-0000-000006000000}">
      <formula1>Sequences</formula1>
    </dataValidation>
    <dataValidation type="custom" allowBlank="1" errorTitle="Invalid Customer Code" error="Customer Code must be exactly 7 characters." promptTitle="Customer Code" prompt="Enter exactly 7 characters. Cells are formatted as Text to preserve leading zeros." sqref="J7:J107" xr:uid="{00000000-0002-0000-0000-000007000000}">
      <formula1>LEN(J7)=7</formula1>
    </dataValidation>
    <dataValidation type="list" allowBlank="1" showInputMessage="1" showErrorMessage="1" errorTitle="Invalid Financial Year" error="Select a Financial Year from the dropdown." promptTitle="Financial Year" prompt="Select the FY in which the scheme starts. Example: FY 2026-27." sqref="B7:B107" xr:uid="{00000000-0002-0000-0000-000008000000}">
      <formula1>FinancialYears</formula1>
    </dataValidation>
  </dataValidations>
  <pageMargins left="0.75" right="0.75" top="1" bottom="1" header="0.5" footer="0.5"/>
  <pageSetup fitToHeight="0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Selection" error="Please select a value from the dropdown." promptTitle="Select from list" prompt="Select scheme type." xr:uid="{9128E93E-C33A-43E3-8462-D87A827D4216}">
          <x14:formula1>
            <xm:f>Codebook!$C$2:$C$30</xm:f>
          </x14:formula1>
          <xm:sqref>G7:G107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  <pageSetUpPr fitToPage="1"/>
  </sheetPr>
  <dimension ref="A1:J36"/>
  <sheetViews>
    <sheetView showGridLines="0" topLeftCell="B13" workbookViewId="0">
      <selection activeCell="E12" sqref="E12"/>
    </sheetView>
  </sheetViews>
  <sheetFormatPr defaultRowHeight="14.5" x14ac:dyDescent="0.35"/>
  <cols>
    <col min="1" max="2" width="22" customWidth="1"/>
    <col min="3" max="3" width="59.54296875" bestFit="1" customWidth="1"/>
    <col min="4" max="8" width="22" customWidth="1"/>
  </cols>
  <sheetData>
    <row r="1" spans="1:10" x14ac:dyDescent="0.35">
      <c r="A1" s="8" t="s">
        <v>6</v>
      </c>
      <c r="B1" s="8" t="s">
        <v>62</v>
      </c>
      <c r="C1" s="8" t="s">
        <v>10</v>
      </c>
      <c r="D1" s="8" t="s">
        <v>63</v>
      </c>
      <c r="E1" s="8" t="s">
        <v>11</v>
      </c>
      <c r="F1" s="8" t="s">
        <v>64</v>
      </c>
      <c r="G1" s="8" t="s">
        <v>65</v>
      </c>
      <c r="H1" s="8" t="s">
        <v>66</v>
      </c>
      <c r="J1" s="8" t="s">
        <v>5</v>
      </c>
    </row>
    <row r="2" spans="1:10" x14ac:dyDescent="0.35">
      <c r="A2" s="9" t="s">
        <v>33</v>
      </c>
      <c r="B2" s="9" t="s">
        <v>38</v>
      </c>
      <c r="C2" s="9" t="s">
        <v>30</v>
      </c>
      <c r="D2" s="9" t="s">
        <v>67</v>
      </c>
      <c r="E2" s="9" t="s">
        <v>25</v>
      </c>
      <c r="F2" s="9" t="s">
        <v>68</v>
      </c>
      <c r="G2" s="9" t="s">
        <v>26</v>
      </c>
      <c r="H2" s="9" t="s">
        <v>53</v>
      </c>
      <c r="J2" t="s">
        <v>69</v>
      </c>
    </row>
    <row r="3" spans="1:10" x14ac:dyDescent="0.35">
      <c r="A3" s="9" t="s">
        <v>28</v>
      </c>
      <c r="B3" s="9" t="s">
        <v>70</v>
      </c>
      <c r="C3" s="9" t="s">
        <v>24</v>
      </c>
      <c r="D3" s="9" t="s">
        <v>71</v>
      </c>
      <c r="E3" s="9" t="s">
        <v>31</v>
      </c>
      <c r="F3" s="9" t="s">
        <v>72</v>
      </c>
      <c r="G3" s="9" t="s">
        <v>55</v>
      </c>
      <c r="H3" s="9" t="s">
        <v>51</v>
      </c>
      <c r="J3" t="s">
        <v>73</v>
      </c>
    </row>
    <row r="4" spans="1:10" x14ac:dyDescent="0.35">
      <c r="A4" s="9" t="s">
        <v>43</v>
      </c>
      <c r="B4" s="9" t="s">
        <v>74</v>
      </c>
      <c r="C4" s="9" t="s">
        <v>35</v>
      </c>
      <c r="D4" s="9" t="s">
        <v>75</v>
      </c>
      <c r="G4" s="9" t="s">
        <v>76</v>
      </c>
      <c r="H4" s="9" t="s">
        <v>49</v>
      </c>
      <c r="J4" t="s">
        <v>77</v>
      </c>
    </row>
    <row r="5" spans="1:10" x14ac:dyDescent="0.35">
      <c r="A5" s="9" t="s">
        <v>46</v>
      </c>
      <c r="B5" s="9" t="s">
        <v>37</v>
      </c>
      <c r="C5" s="9" t="s">
        <v>39</v>
      </c>
      <c r="D5" s="9" t="s">
        <v>78</v>
      </c>
      <c r="G5" s="9" t="s">
        <v>79</v>
      </c>
      <c r="H5" s="9" t="s">
        <v>52</v>
      </c>
      <c r="J5" t="s">
        <v>20</v>
      </c>
    </row>
    <row r="6" spans="1:10" x14ac:dyDescent="0.35">
      <c r="A6" s="9" t="s">
        <v>21</v>
      </c>
      <c r="B6" s="9" t="s">
        <v>80</v>
      </c>
      <c r="C6" s="9" t="s">
        <v>42</v>
      </c>
      <c r="D6" s="9" t="s">
        <v>81</v>
      </c>
      <c r="G6" s="9" t="s">
        <v>82</v>
      </c>
      <c r="H6" s="9" t="s">
        <v>83</v>
      </c>
      <c r="J6" t="s">
        <v>56</v>
      </c>
    </row>
    <row r="7" spans="1:10" x14ac:dyDescent="0.35">
      <c r="B7" s="9" t="s">
        <v>84</v>
      </c>
      <c r="C7" s="9" t="s">
        <v>58</v>
      </c>
      <c r="D7" s="9" t="s">
        <v>85</v>
      </c>
      <c r="G7" s="9" t="s">
        <v>86</v>
      </c>
      <c r="H7" s="9" t="s">
        <v>54</v>
      </c>
      <c r="J7" t="s">
        <v>87</v>
      </c>
    </row>
    <row r="8" spans="1:10" x14ac:dyDescent="0.35">
      <c r="B8" s="9" t="s">
        <v>88</v>
      </c>
      <c r="C8" s="9" t="s">
        <v>60</v>
      </c>
      <c r="D8" s="9" t="s">
        <v>89</v>
      </c>
      <c r="G8" s="9" t="s">
        <v>90</v>
      </c>
      <c r="H8" s="9" t="s">
        <v>91</v>
      </c>
      <c r="J8" t="s">
        <v>92</v>
      </c>
    </row>
    <row r="9" spans="1:10" x14ac:dyDescent="0.35">
      <c r="B9" s="9" t="s">
        <v>93</v>
      </c>
      <c r="C9" s="9" t="s">
        <v>61</v>
      </c>
      <c r="D9" s="9" t="s">
        <v>94</v>
      </c>
      <c r="G9" s="9" t="s">
        <v>95</v>
      </c>
      <c r="H9" s="9" t="s">
        <v>23</v>
      </c>
      <c r="J9" t="s">
        <v>96</v>
      </c>
    </row>
    <row r="10" spans="1:10" x14ac:dyDescent="0.35">
      <c r="B10" s="9" t="s">
        <v>57</v>
      </c>
      <c r="C10" s="16" t="s">
        <v>184</v>
      </c>
      <c r="D10" s="16" t="s">
        <v>192</v>
      </c>
      <c r="G10" s="9" t="s">
        <v>97</v>
      </c>
      <c r="H10" s="9" t="s">
        <v>22</v>
      </c>
      <c r="J10" t="s">
        <v>98</v>
      </c>
    </row>
    <row r="11" spans="1:10" x14ac:dyDescent="0.35">
      <c r="B11" s="9" t="s">
        <v>34</v>
      </c>
      <c r="C11" s="16" t="s">
        <v>185</v>
      </c>
      <c r="D11" s="16" t="s">
        <v>193</v>
      </c>
      <c r="G11" s="9" t="s">
        <v>99</v>
      </c>
      <c r="H11" s="9" t="s">
        <v>48</v>
      </c>
      <c r="J11" t="s">
        <v>100</v>
      </c>
    </row>
    <row r="12" spans="1:10" x14ac:dyDescent="0.35">
      <c r="B12" s="9" t="s">
        <v>101</v>
      </c>
      <c r="C12" s="16" t="s">
        <v>186</v>
      </c>
      <c r="D12" s="16" t="s">
        <v>197</v>
      </c>
      <c r="G12" s="9" t="s">
        <v>102</v>
      </c>
      <c r="H12" s="9" t="s">
        <v>103</v>
      </c>
      <c r="J12" t="s">
        <v>104</v>
      </c>
    </row>
    <row r="13" spans="1:10" x14ac:dyDescent="0.35">
      <c r="B13" s="9" t="s">
        <v>105</v>
      </c>
      <c r="C13" s="16" t="s">
        <v>187</v>
      </c>
      <c r="D13" s="16" t="s">
        <v>195</v>
      </c>
      <c r="G13" s="9" t="s">
        <v>106</v>
      </c>
      <c r="H13" s="9" t="s">
        <v>50</v>
      </c>
      <c r="J13" t="s">
        <v>107</v>
      </c>
    </row>
    <row r="14" spans="1:10" x14ac:dyDescent="0.35">
      <c r="B14" s="9" t="s">
        <v>40</v>
      </c>
      <c r="C14" s="16" t="s">
        <v>188</v>
      </c>
      <c r="D14" s="16" t="s">
        <v>194</v>
      </c>
      <c r="G14" s="9" t="s">
        <v>108</v>
      </c>
      <c r="J14" t="s">
        <v>109</v>
      </c>
    </row>
    <row r="15" spans="1:10" x14ac:dyDescent="0.35">
      <c r="B15" s="9" t="s">
        <v>29</v>
      </c>
      <c r="C15" s="16" t="s">
        <v>189</v>
      </c>
      <c r="D15" s="16" t="s">
        <v>199</v>
      </c>
      <c r="G15" s="9" t="s">
        <v>110</v>
      </c>
      <c r="J15" t="s">
        <v>111</v>
      </c>
    </row>
    <row r="16" spans="1:10" x14ac:dyDescent="0.35">
      <c r="B16" s="9" t="s">
        <v>59</v>
      </c>
      <c r="C16" s="16" t="s">
        <v>190</v>
      </c>
      <c r="D16" s="16" t="s">
        <v>198</v>
      </c>
      <c r="G16" s="9" t="s">
        <v>112</v>
      </c>
      <c r="J16" t="s">
        <v>113</v>
      </c>
    </row>
    <row r="17" spans="2:10" x14ac:dyDescent="0.35">
      <c r="B17" s="9" t="s">
        <v>41</v>
      </c>
      <c r="C17" s="16" t="s">
        <v>191</v>
      </c>
      <c r="D17" s="9" t="s">
        <v>196</v>
      </c>
      <c r="G17" s="9" t="s">
        <v>114</v>
      </c>
      <c r="J17" t="s">
        <v>115</v>
      </c>
    </row>
    <row r="18" spans="2:10" x14ac:dyDescent="0.35">
      <c r="B18" s="9" t="s">
        <v>44</v>
      </c>
      <c r="C18" s="9" t="s">
        <v>213</v>
      </c>
      <c r="D18" s="9" t="s">
        <v>201</v>
      </c>
      <c r="E18" s="17" t="s">
        <v>202</v>
      </c>
      <c r="G18" s="9" t="s">
        <v>116</v>
      </c>
      <c r="J18" t="s">
        <v>117</v>
      </c>
    </row>
    <row r="19" spans="2:10" x14ac:dyDescent="0.35">
      <c r="B19" s="9" t="s">
        <v>45</v>
      </c>
      <c r="C19" s="9" t="s">
        <v>214</v>
      </c>
      <c r="D19" s="9" t="s">
        <v>206</v>
      </c>
      <c r="E19" s="17" t="s">
        <v>203</v>
      </c>
      <c r="G19" s="9" t="s">
        <v>118</v>
      </c>
      <c r="J19" t="s">
        <v>119</v>
      </c>
    </row>
    <row r="20" spans="2:10" x14ac:dyDescent="0.35">
      <c r="B20" s="9" t="s">
        <v>47</v>
      </c>
      <c r="C20" s="9" t="s">
        <v>220</v>
      </c>
      <c r="D20" s="9" t="s">
        <v>207</v>
      </c>
      <c r="E20" s="18" t="s">
        <v>204</v>
      </c>
      <c r="G20" s="9" t="s">
        <v>120</v>
      </c>
    </row>
    <row r="21" spans="2:10" x14ac:dyDescent="0.35">
      <c r="C21" s="9" t="s">
        <v>215</v>
      </c>
      <c r="D21" s="9" t="s">
        <v>208</v>
      </c>
      <c r="E21" s="17" t="s">
        <v>205</v>
      </c>
      <c r="G21" s="9" t="s">
        <v>121</v>
      </c>
    </row>
    <row r="22" spans="2:10" x14ac:dyDescent="0.35">
      <c r="C22" s="9" t="s">
        <v>216</v>
      </c>
      <c r="D22" s="9" t="s">
        <v>221</v>
      </c>
      <c r="E22" s="17" t="s">
        <v>209</v>
      </c>
      <c r="G22" s="9" t="s">
        <v>122</v>
      </c>
    </row>
    <row r="23" spans="2:10" x14ac:dyDescent="0.35">
      <c r="C23" s="9" t="s">
        <v>217</v>
      </c>
      <c r="D23" s="9" t="s">
        <v>222</v>
      </c>
      <c r="E23" s="17" t="s">
        <v>210</v>
      </c>
      <c r="G23" s="9" t="s">
        <v>123</v>
      </c>
    </row>
    <row r="24" spans="2:10" x14ac:dyDescent="0.35">
      <c r="C24" s="9" t="s">
        <v>219</v>
      </c>
      <c r="D24" s="9" t="s">
        <v>223</v>
      </c>
      <c r="E24" s="17" t="s">
        <v>211</v>
      </c>
      <c r="G24" s="9" t="s">
        <v>124</v>
      </c>
    </row>
    <row r="25" spans="2:10" x14ac:dyDescent="0.35">
      <c r="C25" s="9" t="s">
        <v>218</v>
      </c>
      <c r="D25" s="9" t="s">
        <v>224</v>
      </c>
      <c r="E25" s="17" t="s">
        <v>212</v>
      </c>
      <c r="G25" s="9" t="s">
        <v>125</v>
      </c>
    </row>
    <row r="26" spans="2:10" x14ac:dyDescent="0.35">
      <c r="G26" s="9" t="s">
        <v>126</v>
      </c>
    </row>
    <row r="27" spans="2:10" x14ac:dyDescent="0.35">
      <c r="G27" s="9" t="s">
        <v>72</v>
      </c>
    </row>
    <row r="28" spans="2:10" x14ac:dyDescent="0.35">
      <c r="G28" s="9" t="s">
        <v>127</v>
      </c>
    </row>
    <row r="29" spans="2:10" x14ac:dyDescent="0.35">
      <c r="G29" s="9" t="s">
        <v>128</v>
      </c>
    </row>
    <row r="30" spans="2:10" x14ac:dyDescent="0.35">
      <c r="G30" s="9" t="s">
        <v>129</v>
      </c>
    </row>
    <row r="31" spans="2:10" x14ac:dyDescent="0.35">
      <c r="G31" s="9" t="s">
        <v>130</v>
      </c>
    </row>
    <row r="32" spans="2:10" x14ac:dyDescent="0.35">
      <c r="G32" s="9" t="s">
        <v>68</v>
      </c>
    </row>
    <row r="33" spans="7:7" x14ac:dyDescent="0.35">
      <c r="G33" s="9" t="s">
        <v>131</v>
      </c>
    </row>
    <row r="34" spans="7:7" x14ac:dyDescent="0.35">
      <c r="G34" s="9" t="s">
        <v>132</v>
      </c>
    </row>
    <row r="35" spans="7:7" x14ac:dyDescent="0.35">
      <c r="G35" s="9" t="s">
        <v>133</v>
      </c>
    </row>
    <row r="36" spans="7:7" x14ac:dyDescent="0.35">
      <c r="G36" s="9" t="s">
        <v>134</v>
      </c>
    </row>
  </sheetData>
  <conditionalFormatting sqref="D2:D25">
    <cfRule type="duplicateValues" dxfId="0" priority="1"/>
  </conditionalFormatting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A1:F24"/>
  <sheetViews>
    <sheetView showGridLines="0" workbookViewId="0">
      <selection sqref="A1:F1"/>
    </sheetView>
  </sheetViews>
  <sheetFormatPr defaultRowHeight="14.5" x14ac:dyDescent="0.35"/>
  <cols>
    <col min="1" max="1" width="24" customWidth="1"/>
    <col min="2" max="2" width="70" customWidth="1"/>
    <col min="3" max="6" width="26" customWidth="1"/>
  </cols>
  <sheetData>
    <row r="1" spans="1:6" ht="19.5" x14ac:dyDescent="0.45">
      <c r="A1" s="19" t="s">
        <v>135</v>
      </c>
      <c r="B1" s="20"/>
      <c r="C1" s="20"/>
      <c r="D1" s="20"/>
      <c r="E1" s="20"/>
      <c r="F1" s="20"/>
    </row>
    <row r="3" spans="1:6" x14ac:dyDescent="0.35">
      <c r="A3" s="10" t="s">
        <v>136</v>
      </c>
      <c r="B3" s="10" t="s">
        <v>137</v>
      </c>
    </row>
    <row r="4" spans="1:6" ht="34" customHeight="1" x14ac:dyDescent="0.35">
      <c r="A4" s="11" t="s">
        <v>138</v>
      </c>
      <c r="B4" s="12" t="s">
        <v>139</v>
      </c>
    </row>
    <row r="5" spans="1:6" ht="34" customHeight="1" x14ac:dyDescent="0.35">
      <c r="A5" s="11" t="s">
        <v>140</v>
      </c>
      <c r="B5" s="12" t="s">
        <v>141</v>
      </c>
    </row>
    <row r="6" spans="1:6" ht="34" customHeight="1" x14ac:dyDescent="0.35">
      <c r="A6" s="11" t="s">
        <v>142</v>
      </c>
      <c r="B6" s="12" t="s">
        <v>143</v>
      </c>
    </row>
    <row r="7" spans="1:6" ht="34" customHeight="1" x14ac:dyDescent="0.35">
      <c r="A7" s="11" t="s">
        <v>144</v>
      </c>
      <c r="B7" s="12" t="s">
        <v>145</v>
      </c>
    </row>
    <row r="8" spans="1:6" ht="34" customHeight="1" x14ac:dyDescent="0.35">
      <c r="A8" s="11" t="s">
        <v>146</v>
      </c>
      <c r="B8" s="12" t="s">
        <v>147</v>
      </c>
    </row>
    <row r="9" spans="1:6" ht="34" customHeight="1" x14ac:dyDescent="0.35">
      <c r="A9" s="11" t="s">
        <v>148</v>
      </c>
      <c r="B9" s="12" t="s">
        <v>149</v>
      </c>
    </row>
    <row r="10" spans="1:6" ht="34" customHeight="1" x14ac:dyDescent="0.35">
      <c r="A10" s="11" t="s">
        <v>150</v>
      </c>
      <c r="B10" s="12" t="s">
        <v>151</v>
      </c>
    </row>
    <row r="11" spans="1:6" ht="34" customHeight="1" x14ac:dyDescent="0.35">
      <c r="A11" s="11" t="s">
        <v>152</v>
      </c>
      <c r="B11" s="12" t="s">
        <v>153</v>
      </c>
    </row>
    <row r="12" spans="1:6" ht="34" customHeight="1" x14ac:dyDescent="0.35">
      <c r="A12" s="11" t="s">
        <v>154</v>
      </c>
      <c r="B12" s="12" t="s">
        <v>155</v>
      </c>
    </row>
    <row r="15" spans="1:6" ht="15.5" x14ac:dyDescent="0.35">
      <c r="A15" s="21" t="s">
        <v>156</v>
      </c>
      <c r="B15" s="20"/>
      <c r="C15" s="20"/>
      <c r="D15" s="20"/>
      <c r="E15" s="20"/>
      <c r="F15" s="20"/>
    </row>
    <row r="16" spans="1:6" ht="43.5" x14ac:dyDescent="0.35">
      <c r="A16" s="13" t="s">
        <v>157</v>
      </c>
      <c r="B16" s="13" t="s">
        <v>158</v>
      </c>
      <c r="C16" s="13" t="s">
        <v>159</v>
      </c>
      <c r="D16" s="13" t="s">
        <v>160</v>
      </c>
      <c r="E16" s="13" t="s">
        <v>161</v>
      </c>
      <c r="F16" s="13" t="s">
        <v>162</v>
      </c>
    </row>
    <row r="17" spans="1:6" ht="43.5" x14ac:dyDescent="0.35">
      <c r="A17" s="12" t="s">
        <v>163</v>
      </c>
      <c r="B17" s="12" t="s">
        <v>164</v>
      </c>
      <c r="C17" s="12" t="s">
        <v>165</v>
      </c>
      <c r="D17" s="12" t="s">
        <v>166</v>
      </c>
      <c r="E17" s="12" t="s">
        <v>27</v>
      </c>
      <c r="F17" s="14" t="s">
        <v>167</v>
      </c>
    </row>
    <row r="18" spans="1:6" ht="43.5" x14ac:dyDescent="0.35">
      <c r="A18" s="12" t="s">
        <v>168</v>
      </c>
      <c r="B18" s="12" t="s">
        <v>169</v>
      </c>
      <c r="C18" s="12" t="s">
        <v>29</v>
      </c>
      <c r="D18" s="12" t="s">
        <v>170</v>
      </c>
      <c r="E18" s="12" t="s">
        <v>32</v>
      </c>
      <c r="F18" s="14" t="s">
        <v>171</v>
      </c>
    </row>
    <row r="19" spans="1:6" ht="43.5" x14ac:dyDescent="0.35">
      <c r="A19" s="12" t="s">
        <v>172</v>
      </c>
      <c r="B19" s="12" t="s">
        <v>173</v>
      </c>
      <c r="C19" s="12" t="s">
        <v>34</v>
      </c>
      <c r="D19" s="12" t="s">
        <v>174</v>
      </c>
      <c r="E19" s="12" t="s">
        <v>36</v>
      </c>
      <c r="F19" s="14" t="s">
        <v>175</v>
      </c>
    </row>
    <row r="20" spans="1:6" x14ac:dyDescent="0.35">
      <c r="A20" t="s">
        <v>176</v>
      </c>
      <c r="B20" t="s">
        <v>167</v>
      </c>
    </row>
    <row r="22" spans="1:6" x14ac:dyDescent="0.35">
      <c r="A22" t="s">
        <v>177</v>
      </c>
      <c r="B22" t="s">
        <v>178</v>
      </c>
    </row>
    <row r="23" spans="1:6" x14ac:dyDescent="0.35">
      <c r="A23" t="s">
        <v>179</v>
      </c>
      <c r="B23" t="s">
        <v>180</v>
      </c>
    </row>
    <row r="24" spans="1:6" x14ac:dyDescent="0.35">
      <c r="A24" t="s">
        <v>181</v>
      </c>
      <c r="B24" t="s">
        <v>182</v>
      </c>
    </row>
  </sheetData>
  <mergeCells count="2">
    <mergeCell ref="A1:F1"/>
    <mergeCell ref="A15:F15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MA Schem Code Tool</vt:lpstr>
      <vt:lpstr>Sub Agreement Code Tool</vt:lpstr>
      <vt:lpstr>Codebook</vt:lpstr>
      <vt:lpstr>Instructions</vt:lpstr>
      <vt:lpstr>FinancialYears</vt:lpstr>
      <vt:lpstr>Months</vt:lpstr>
      <vt:lpstr>PeriodTypes</vt:lpstr>
      <vt:lpstr>SchemeBases</vt:lpstr>
      <vt:lpstr>SchemeTypes</vt:lpstr>
      <vt:lpstr>Sequences</vt:lpstr>
      <vt:lpstr>StandardPeriods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2026-09-21T08:18:04Z</dcterms:created>
  <dcterms:modified xsi:type="dcterms:W3CDTF">2026-10-16T06:03:45Z</dcterms:modified>
</cp:coreProperties>
</file>