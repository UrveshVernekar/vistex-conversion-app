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"/>
    </mc:Choice>
  </mc:AlternateContent>
  <xr:revisionPtr revIDLastSave="0" documentId="8_{A33B5AEC-CF5C-4ABF-BE05-1E5850AA4473}" xr6:coauthVersionLast="47" xr6:coauthVersionMax="47" xr10:uidLastSave="{00000000-0000-0000-0000-000000000000}"/>
  <bookViews>
    <workbookView xWindow="-110" yWindow="-110" windowWidth="19420" windowHeight="10300" activeTab="1" xr2:uid="{B758B9EB-5C47-477D-A1FD-8E030330F4FD}"/>
  </bookViews>
  <sheets>
    <sheet name="Important Points" sheetId="3" r:id="rId1"/>
    <sheet name="Quantity" sheetId="1" r:id="rId2"/>
    <sheet name="Agreement field Values" sheetId="4" r:id="rId3"/>
    <sheet name="Amoun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F15" i="1"/>
  <c r="L17" i="1"/>
  <c r="J30" i="1" s="1"/>
  <c r="K17" i="1"/>
  <c r="I19" i="1" s="1"/>
  <c r="D17" i="1"/>
  <c r="D15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M72" i="1"/>
  <c r="L72" i="1"/>
  <c r="M64" i="1"/>
  <c r="L64" i="1"/>
  <c r="M56" i="1"/>
  <c r="L56" i="1"/>
  <c r="M48" i="1"/>
  <c r="L48" i="1"/>
  <c r="M40" i="1"/>
  <c r="L40" i="1"/>
  <c r="M32" i="1"/>
  <c r="L32" i="1"/>
  <c r="D30" i="1"/>
  <c r="D29" i="1"/>
  <c r="D28" i="1"/>
  <c r="D27" i="1"/>
  <c r="D26" i="1"/>
  <c r="D25" i="1"/>
  <c r="F106" i="1"/>
  <c r="F105" i="1"/>
  <c r="F104" i="1"/>
  <c r="F103" i="1"/>
  <c r="F102" i="1"/>
  <c r="F101" i="1"/>
  <c r="E77" i="1"/>
  <c r="E76" i="1"/>
  <c r="E69" i="1"/>
  <c r="E68" i="1"/>
  <c r="E61" i="1"/>
  <c r="E60" i="1"/>
  <c r="E53" i="1"/>
  <c r="E52" i="1"/>
  <c r="E45" i="1"/>
  <c r="E44" i="1"/>
  <c r="E37" i="1"/>
  <c r="E36" i="1"/>
  <c r="I29" i="1" l="1"/>
  <c r="J19" i="1"/>
  <c r="I21" i="1"/>
  <c r="I23" i="1"/>
  <c r="J23" i="1"/>
  <c r="I25" i="1"/>
  <c r="I27" i="1"/>
  <c r="J27" i="1"/>
  <c r="I20" i="1"/>
  <c r="I24" i="1"/>
  <c r="I28" i="1"/>
  <c r="J20" i="1"/>
  <c r="J24" i="1"/>
  <c r="J28" i="1"/>
  <c r="J21" i="1"/>
  <c r="J25" i="1"/>
  <c r="J29" i="1"/>
  <c r="I22" i="1"/>
  <c r="I26" i="1"/>
  <c r="I30" i="1"/>
  <c r="J22" i="1"/>
  <c r="J26" i="1"/>
  <c r="D104" i="1" l="1"/>
  <c r="D105" i="1"/>
  <c r="D103" i="1"/>
  <c r="D106" i="1"/>
  <c r="D102" i="1"/>
  <c r="D101" i="1"/>
  <c r="D40" i="1"/>
  <c r="E40" i="1"/>
  <c r="F40" i="1" s="1"/>
  <c r="D48" i="1"/>
  <c r="E48" i="1"/>
  <c r="F48" i="1" s="1"/>
  <c r="D64" i="1"/>
  <c r="E64" i="1"/>
  <c r="F64" i="1" s="1"/>
  <c r="D56" i="1"/>
  <c r="E56" i="1"/>
  <c r="F56" i="1" s="1"/>
  <c r="D72" i="1"/>
  <c r="E72" i="1"/>
  <c r="F72" i="1" s="1"/>
  <c r="E32" i="1"/>
  <c r="D32" i="1"/>
  <c r="D24" i="1"/>
  <c r="D22" i="1"/>
  <c r="D21" i="1"/>
  <c r="D23" i="1"/>
  <c r="D20" i="1"/>
  <c r="D19" i="1"/>
  <c r="H9" i="1"/>
  <c r="G9" i="1"/>
  <c r="E9" i="1"/>
  <c r="J7" i="1"/>
  <c r="H7" i="1"/>
  <c r="G7" i="1"/>
</calcChain>
</file>

<file path=xl/sharedStrings.xml><?xml version="1.0" encoding="utf-8"?>
<sst xmlns="http://schemas.openxmlformats.org/spreadsheetml/2006/main" count="1291" uniqueCount="303">
  <si>
    <t>Request Description</t>
  </si>
  <si>
    <t>HEADER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</si>
  <si>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</si>
  <si>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</si>
  <si>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</si>
  <si>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</si>
  <si>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</si>
  <si>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</si>
  <si>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</si>
  <si>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</si>
  <si>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</si>
  <si>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</si>
  <si>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</si>
  <si>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</si>
  <si>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</si>
  <si>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</si>
  <si>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</si>
  <si>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</si>
  <si>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</si>
  <si>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M7_TP_VOL04</t>
  </si>
  <si>
    <t>M7QTRL</t>
  </si>
  <si>
    <t>MD</t>
  </si>
  <si>
    <t>MQ</t>
  </si>
  <si>
    <t>N</t>
  </si>
  <si>
    <t>T</t>
  </si>
  <si>
    <t>30/06/2024</t>
  </si>
  <si>
    <t>Sub-Agreement External ID</t>
  </si>
  <si>
    <t>Customer External ID</t>
  </si>
  <si>
    <t>Flexible Group</t>
  </si>
  <si>
    <t>Valid From</t>
  </si>
  <si>
    <t>Valid To</t>
  </si>
  <si>
    <t>ELCUST</t>
  </si>
  <si>
    <t xml:space="preserve"> </t>
  </si>
  <si>
    <t>Description</t>
  </si>
  <si>
    <t>Flexible Group Type</t>
  </si>
  <si>
    <t>Flexible Group Request</t>
  </si>
  <si>
    <t>FGHD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</si>
  <si>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</si>
  <si>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</si>
  <si>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</si>
  <si>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</si>
  <si>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</si>
  <si>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</si>
  <si>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</si>
  <si>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</si>
  <si>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</si>
  <si>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</si>
  <si>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</si>
  <si>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</si>
  <si>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</si>
  <si>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</si>
  <si>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</si>
  <si>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</si>
  <si>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</si>
  <si>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</si>
  <si>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</si>
  <si>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</si>
  <si>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</si>
  <si>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</si>
  <si>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</si>
  <si>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</si>
  <si>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</si>
  <si>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</si>
  <si>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</si>
  <si>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</si>
  <si>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Group Name</t>
  </si>
  <si>
    <t>Group Type</t>
  </si>
  <si>
    <t>Source</t>
  </si>
  <si>
    <t>ELGBPRDGRP</t>
  </si>
  <si>
    <t>A</t>
  </si>
  <si>
    <t>MXDS</t>
  </si>
  <si>
    <t>New1</t>
  </si>
  <si>
    <t>P</t>
  </si>
  <si>
    <t>New2</t>
  </si>
  <si>
    <t>Payout Group</t>
  </si>
  <si>
    <t>Attain Group</t>
  </si>
  <si>
    <t>Rate</t>
  </si>
  <si>
    <t>Currency(%)</t>
  </si>
  <si>
    <t>Target Type</t>
  </si>
  <si>
    <t>Target Value</t>
  </si>
  <si>
    <t>Target Unit</t>
  </si>
  <si>
    <t>Product External ID</t>
  </si>
  <si>
    <t>BENEFITS</t>
  </si>
  <si>
    <t>INR</t>
  </si>
  <si>
    <t>IFB WM1</t>
  </si>
  <si>
    <t>Bracket</t>
  </si>
  <si>
    <t>Scale Type</t>
  </si>
  <si>
    <t>Unit</t>
  </si>
  <si>
    <t>Unit Type</t>
  </si>
  <si>
    <t>BSA</t>
  </si>
  <si>
    <t>MS</t>
  </si>
  <si>
    <t>PCS</t>
  </si>
  <si>
    <t>MXSQ</t>
  </si>
  <si>
    <t>Dimension Value1</t>
  </si>
  <si>
    <t>Calculation Derivation Record</t>
  </si>
  <si>
    <t>BS</t>
  </si>
  <si>
    <t>M7PR</t>
  </si>
  <si>
    <t>MX20</t>
  </si>
  <si>
    <t>X</t>
  </si>
  <si>
    <t>TLM</t>
  </si>
  <si>
    <t>FLU</t>
  </si>
  <si>
    <t>ACCRTE</t>
  </si>
  <si>
    <t>Section</t>
  </si>
  <si>
    <t>Sub section / Value</t>
  </si>
  <si>
    <t>Request Header</t>
  </si>
  <si>
    <t xml:space="preserve">Sub Heading </t>
  </si>
  <si>
    <t>Value</t>
  </si>
  <si>
    <t>Master Agreement</t>
  </si>
  <si>
    <t>Sub agreement</t>
  </si>
  <si>
    <t>Eligible Customer</t>
  </si>
  <si>
    <t>FG HD Sub heading</t>
  </si>
  <si>
    <t>FG IT Sub heading</t>
  </si>
  <si>
    <t>Eligible Product grouping</t>
  </si>
  <si>
    <t>Benefits, Scale Attributes, Scales</t>
  </si>
  <si>
    <t>Ben Sub heading</t>
  </si>
  <si>
    <t>Scale At. Sub heading</t>
  </si>
  <si>
    <t>Scales Sub Heading</t>
  </si>
  <si>
    <t>Accrual Rate</t>
  </si>
  <si>
    <t>Eligible Product Grouping Flexible Group header and Items</t>
  </si>
  <si>
    <t>EL PG FG HD sub heading</t>
  </si>
  <si>
    <t>EL PG FG IT Sub heading</t>
  </si>
  <si>
    <t>Vistex Section Header</t>
  </si>
  <si>
    <t xml:space="preserve">Customer Flexible Group </t>
  </si>
  <si>
    <t>MR AMT ALL Upload 2</t>
  </si>
  <si>
    <t>MA AMT ALL Upload 2</t>
  </si>
  <si>
    <t>SA AMT ALL Upload 2</t>
  </si>
  <si>
    <t>M7_TP_VOL03</t>
  </si>
  <si>
    <t>Base Value</t>
  </si>
  <si>
    <t>ELGBBASE</t>
  </si>
  <si>
    <t>MXNS</t>
  </si>
  <si>
    <t>Source Field</t>
  </si>
  <si>
    <t>Sequence</t>
  </si>
  <si>
    <t>Contribution</t>
  </si>
  <si>
    <t>Eligibility %</t>
  </si>
  <si>
    <t>ELGBASEVAL</t>
  </si>
  <si>
    <t>ELMNT1_XM</t>
  </si>
  <si>
    <t>+</t>
  </si>
  <si>
    <t>ATT_MAT</t>
  </si>
  <si>
    <t>PAY_MAT</t>
  </si>
  <si>
    <t>Attain PG</t>
  </si>
  <si>
    <t>Payout PG</t>
  </si>
  <si>
    <t>END</t>
  </si>
  <si>
    <t>Eligible Base</t>
  </si>
  <si>
    <t>Eligible Base Vale</t>
  </si>
  <si>
    <t>M7YRLY</t>
  </si>
  <si>
    <t>MY</t>
  </si>
  <si>
    <t>Sno</t>
  </si>
  <si>
    <t>Point</t>
  </si>
  <si>
    <t xml:space="preserve">File should be uploaded in Vistex using CSV format (UTF -8 Comma Delimited) </t>
  </si>
  <si>
    <t>Refer to the Agreement field values file for Technical values to be filled in the format
Example - Accrual Frequency, Source etc</t>
  </si>
  <si>
    <t>Note</t>
  </si>
  <si>
    <r>
      <t xml:space="preserve">Section and Sub section in the respective (Quantity &amp; Amount format) sheets are provided for information and understanding
</t>
    </r>
    <r>
      <rPr>
        <b/>
        <sz val="11"/>
        <color theme="1"/>
        <rFont val="Aptos Narrow"/>
        <family val="2"/>
        <scheme val="minor"/>
      </rPr>
      <t>If any values are repeating, like customer code, product etc- accordingly the rows can be added in the format</t>
    </r>
  </si>
  <si>
    <t>Once the Agreements are uploaded through mass upload, individual agreement can be verified &amp; to be opened in Vistex for submission and approaval as per flow
Amendment is also possible before submission for approval</t>
  </si>
  <si>
    <r>
      <rPr>
        <b/>
        <sz val="11"/>
        <color theme="1"/>
        <rFont val="Aptos Narrow"/>
        <family val="2"/>
        <scheme val="minor"/>
      </rPr>
      <t>Mass upload format is having two types</t>
    </r>
    <r>
      <rPr>
        <sz val="11"/>
        <color theme="1"/>
        <rFont val="Aptos Narrow"/>
        <family val="2"/>
        <scheme val="minor"/>
      </rPr>
      <t xml:space="preserve">
1. Quantity based
2. Amount based
Only difference between both the formats is Eligible Base &amp; Its value - only applicable for Amount Rebate</t>
    </r>
  </si>
  <si>
    <r>
      <rPr>
        <b/>
        <sz val="11"/>
        <color theme="1"/>
        <rFont val="Aptos Narrow"/>
        <family val="2"/>
        <scheme val="minor"/>
      </rPr>
      <t xml:space="preserve">Using the Mass upload format </t>
    </r>
    <r>
      <rPr>
        <sz val="11"/>
        <color theme="1"/>
        <rFont val="Aptos Narrow"/>
        <family val="2"/>
        <scheme val="minor"/>
      </rPr>
      <t xml:space="preserve">
1. Master Agreement can be created with multiple Sub Agreement
2. Multiple Master Agreement can be created with multiple Sub Agreement</t>
    </r>
  </si>
  <si>
    <r>
      <rPr>
        <b/>
        <sz val="11"/>
        <color theme="1"/>
        <rFont val="Aptos Narrow"/>
        <family val="2"/>
        <scheme val="minor"/>
      </rPr>
      <t xml:space="preserve">In case of Flexible Group being used </t>
    </r>
    <r>
      <rPr>
        <sz val="11"/>
        <color theme="1"/>
        <rFont val="Aptos Narrow"/>
        <family val="2"/>
        <scheme val="minor"/>
      </rPr>
      <t xml:space="preserve">
1. Customer &amp; Material both 
2. Only Material
Request No </t>
    </r>
    <r>
      <rPr>
        <b/>
        <sz val="11"/>
        <color theme="1"/>
        <rFont val="Aptos Narrow"/>
        <family val="2"/>
        <scheme val="minor"/>
      </rPr>
      <t>should be</t>
    </r>
    <r>
      <rPr>
        <sz val="11"/>
        <color theme="1"/>
        <rFont val="Aptos Narrow"/>
        <family val="2"/>
        <scheme val="minor"/>
      </rPr>
      <t xml:space="preserve"> Sequential grouping starting with NEW1 - single or multiple agreement in combination
In Customer Eligibility either customer can be selected for Flexible group - both are not supported</t>
    </r>
  </si>
  <si>
    <t>MA-1028601-27</t>
  </si>
  <si>
    <t>27Q2-TUQ1-1028601</t>
  </si>
  <si>
    <t>Agreement field values for different parameters under Vistex field heads (screen level)</t>
  </si>
  <si>
    <t>Sub Agreement programs level selection as per scheme type and Period Profile</t>
  </si>
  <si>
    <t xml:space="preserve"> Sub Agreement Program types</t>
  </si>
  <si>
    <t>S.No</t>
  </si>
  <si>
    <t>Program</t>
  </si>
  <si>
    <t>Technical Value</t>
  </si>
  <si>
    <t>Type</t>
  </si>
  <si>
    <t>Turnover Rebate-% Based (Amount Scale)-Festive</t>
  </si>
  <si>
    <t>M7_TP_VOL01</t>
  </si>
  <si>
    <t>Amount</t>
  </si>
  <si>
    <t xml:space="preserve">Agreement Validity </t>
  </si>
  <si>
    <t>XAGRMT</t>
  </si>
  <si>
    <t>Turnover Rebate-% Based (Amount Scale)-Specific</t>
  </si>
  <si>
    <t>M7_TP_VOL05</t>
  </si>
  <si>
    <t xml:space="preserve">Yearly </t>
  </si>
  <si>
    <t>Turnover Rebate-% Based (Amount Scale)-Annual</t>
  </si>
  <si>
    <t>Monthly</t>
  </si>
  <si>
    <t>M7MNTH</t>
  </si>
  <si>
    <t>Turnover Rebate - % Based (amount Scale) - Liquidation</t>
  </si>
  <si>
    <t>M7_TP_VOL07</t>
  </si>
  <si>
    <t>Quarterly</t>
  </si>
  <si>
    <t>Quantity Rebate-$/unit (Qty Scale)-Festive</t>
  </si>
  <si>
    <t>M7_TP_VOL02</t>
  </si>
  <si>
    <t>Quantity</t>
  </si>
  <si>
    <t>Half-yearly</t>
  </si>
  <si>
    <t>M7HYFR</t>
  </si>
  <si>
    <t>Quantity Rebate-$/unit (Qty Scale)-Specific</t>
  </si>
  <si>
    <t>M7_TP_VOL06</t>
  </si>
  <si>
    <t>Quantity Rebate-$/unit (Qty Scale)-Annual</t>
  </si>
  <si>
    <t>Quantity Rebate-$/unit (Qty Scale)-Liquidation</t>
  </si>
  <si>
    <t>M7_TP_VOL08</t>
  </si>
  <si>
    <t>Quantity Rebate-$/unit (Qty Scale)-Cluster of Customer</t>
  </si>
  <si>
    <t>M7_TP_VOL09</t>
  </si>
  <si>
    <t>Daily</t>
  </si>
  <si>
    <t>Turnover Rebate-% Based (Amount Scale)-Cluster of Customer</t>
  </si>
  <si>
    <t>M7_TP_VOL10</t>
  </si>
  <si>
    <t>MA</t>
  </si>
  <si>
    <t>MM</t>
  </si>
  <si>
    <t>Half-Yearly</t>
  </si>
  <si>
    <t>MH</t>
  </si>
  <si>
    <t xml:space="preserve">Customer Eligibility </t>
  </si>
  <si>
    <t>Field</t>
  </si>
  <si>
    <t>MX03</t>
  </si>
  <si>
    <t>Customer</t>
  </si>
  <si>
    <t>M7CU</t>
  </si>
  <si>
    <t>MX04</t>
  </si>
  <si>
    <t>MX05</t>
  </si>
  <si>
    <r>
      <t>Mass upload format Tip -</t>
    </r>
    <r>
      <rPr>
        <sz val="11"/>
        <color theme="1"/>
        <rFont val="Aptos Narrow"/>
        <family val="2"/>
        <scheme val="minor"/>
      </rPr>
      <t xml:space="preserve"> Request No- Sequential grouping starting with NEW1 - single or multiple agreement in combination to the customer flexi group</t>
    </r>
  </si>
  <si>
    <t>Territiory/Sales area</t>
  </si>
  <si>
    <t>MX52</t>
  </si>
  <si>
    <t>MX53</t>
  </si>
  <si>
    <t>MX54</t>
  </si>
  <si>
    <t>Cluster customer (Parent)</t>
  </si>
  <si>
    <t>MXCO</t>
  </si>
  <si>
    <t>Cluster customer (Child)</t>
  </si>
  <si>
    <t>MXDI</t>
  </si>
  <si>
    <t>Include</t>
  </si>
  <si>
    <t>Exclude</t>
  </si>
  <si>
    <t xml:space="preserve">General Data </t>
  </si>
  <si>
    <t>Technical value</t>
  </si>
  <si>
    <t>No</t>
  </si>
  <si>
    <t>Yes</t>
  </si>
  <si>
    <t>Y</t>
  </si>
  <si>
    <t>Cash Discount</t>
  </si>
  <si>
    <t>C</t>
  </si>
  <si>
    <t>L</t>
  </si>
  <si>
    <t>Sell Out</t>
  </si>
  <si>
    <t>S</t>
  </si>
  <si>
    <t>Target</t>
  </si>
  <si>
    <t>Eligibility</t>
  </si>
  <si>
    <t xml:space="preserve">Base Value </t>
  </si>
  <si>
    <t>Direct Sales</t>
  </si>
  <si>
    <t>Net Sales</t>
  </si>
  <si>
    <t>Basic Rate</t>
  </si>
  <si>
    <t>DP with GST</t>
  </si>
  <si>
    <t>ELMNT2_XM</t>
  </si>
  <si>
    <t>Net value (w/o GST)</t>
  </si>
  <si>
    <t>ELMNT3_XM</t>
  </si>
  <si>
    <t>Attainment</t>
  </si>
  <si>
    <t>MRP (with GST)</t>
  </si>
  <si>
    <t>ELMNT4_XM</t>
  </si>
  <si>
    <t>Payout</t>
  </si>
  <si>
    <t>MRP (w/o GST)</t>
  </si>
  <si>
    <t>ELMNT5_XM</t>
  </si>
  <si>
    <t>Net Value</t>
  </si>
  <si>
    <t>NETVL_XM</t>
  </si>
  <si>
    <t>Material</t>
  </si>
  <si>
    <r>
      <t xml:space="preserve">Mass upload format Tip - </t>
    </r>
    <r>
      <rPr>
        <sz val="11"/>
        <color theme="1"/>
        <rFont val="Aptos Narrow"/>
        <family val="2"/>
        <scheme val="minor"/>
      </rPr>
      <t>Request No- Sequential grouping starting with NEW1 - single or multiple agreement in combination to the customer flexi group</t>
    </r>
  </si>
  <si>
    <t>Product Flexible Group Category</t>
  </si>
  <si>
    <t>Product</t>
  </si>
  <si>
    <t>MX19</t>
  </si>
  <si>
    <t>MX21</t>
  </si>
  <si>
    <t>MX22</t>
  </si>
  <si>
    <t xml:space="preserve">Star Rating </t>
  </si>
  <si>
    <t>MX61</t>
  </si>
  <si>
    <t>MX62</t>
  </si>
  <si>
    <t>MX63</t>
  </si>
  <si>
    <t>MX64</t>
  </si>
  <si>
    <t>MX65</t>
  </si>
  <si>
    <t>M7P9</t>
  </si>
  <si>
    <t>M710</t>
  </si>
  <si>
    <t>M711</t>
  </si>
  <si>
    <t>M712</t>
  </si>
  <si>
    <t>M713</t>
  </si>
  <si>
    <t>M714</t>
  </si>
  <si>
    <t>M715</t>
  </si>
  <si>
    <t>M7LQ</t>
  </si>
  <si>
    <t>Benefit</t>
  </si>
  <si>
    <t>Rate type</t>
  </si>
  <si>
    <t>Percentage</t>
  </si>
  <si>
    <t>MXPR</t>
  </si>
  <si>
    <t>Rate per Unit</t>
  </si>
  <si>
    <t>MXCR</t>
  </si>
  <si>
    <t>Unit type in Scale</t>
  </si>
  <si>
    <t>Sales quantity</t>
  </si>
  <si>
    <t>Achievement Percentage (%) - Amount</t>
  </si>
  <si>
    <t>MXAH</t>
  </si>
  <si>
    <t>Achievement Percentage (%) - Quantity</t>
  </si>
  <si>
    <t>MXAU</t>
  </si>
  <si>
    <t>Traget type &amp; Unit - Should be maintained only when scheme has achievement percentage benefit (scale base)</t>
  </si>
  <si>
    <t>Target type</t>
  </si>
  <si>
    <t>XQTY</t>
  </si>
  <si>
    <t>Currency</t>
  </si>
  <si>
    <t>XCUR</t>
  </si>
  <si>
    <t>TU</t>
  </si>
  <si>
    <t>Q</t>
  </si>
  <si>
    <t>FL</t>
  </si>
  <si>
    <t>TL</t>
  </si>
  <si>
    <t>MW</t>
  </si>
  <si>
    <t>DW</t>
  </si>
  <si>
    <t>CD</t>
  </si>
  <si>
    <t>KA</t>
  </si>
  <si>
    <t>New3</t>
  </si>
  <si>
    <t>New4</t>
  </si>
  <si>
    <t>New5</t>
  </si>
  <si>
    <t>New6</t>
  </si>
  <si>
    <t>%</t>
  </si>
  <si>
    <t>8903287005695</t>
  </si>
  <si>
    <t>New7</t>
  </si>
  <si>
    <t>WD</t>
  </si>
  <si>
    <t>New8</t>
  </si>
  <si>
    <t>New9</t>
  </si>
  <si>
    <t>New10</t>
  </si>
  <si>
    <t>New11</t>
  </si>
  <si>
    <t>New12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</si>
</sst>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32629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6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0" borderId="0" xfId="0" applyFont="1"/>
    <xf numFmtId="0" fontId="0" fillId="0" borderId="18" xfId="0" applyBorder="1"/>
    <xf numFmtId="0" fontId="0" fillId="33" borderId="0" xfId="0" applyFill="1"/>
    <xf numFmtId="49" fontId="0" fillId="33" borderId="0" xfId="0" applyNumberFormat="1" applyFill="1"/>
    <xf numFmtId="0" fontId="0" fillId="34" borderId="0" xfId="0" applyFill="1"/>
    <xf numFmtId="49" fontId="0" fillId="34" borderId="0" xfId="0" applyNumberFormat="1" applyFill="1"/>
    <xf numFmtId="164" fontId="0" fillId="0" borderId="0" xfId="0" applyNumberFormat="1"/>
    <xf numFmtId="0" fontId="0" fillId="0" borderId="22" xfId="0" applyBorder="1"/>
    <xf numFmtId="0" fontId="0" fillId="0" borderId="0" xfId="0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2" xfId="0" applyFont="1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wrapText="1"/>
    </xf>
    <xf numFmtId="0" fontId="0" fillId="0" borderId="0" xfId="0" applyAlignment="1">
      <alignment wrapText="1"/>
    </xf>
    <xf numFmtId="0" fontId="0" fillId="35" borderId="0" xfId="0" applyFill="1"/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0" fillId="0" borderId="22" xfId="0" applyFont="1" applyBorder="1"/>
    <xf numFmtId="0" fontId="0" fillId="0" borderId="22" xfId="0" applyBorder="1" applyAlignment="1">
      <alignment vertical="center"/>
    </xf>
    <xf numFmtId="0" fontId="16" fillId="0" borderId="23" xfId="0" applyFont="1" applyBorder="1"/>
    <xf numFmtId="0" fontId="0" fillId="0" borderId="23" xfId="0" applyBorder="1"/>
    <xf numFmtId="0" fontId="16" fillId="0" borderId="0" xfId="0" applyFont="1" applyAlignment="1">
      <alignment horizontal="center" vertical="center" wrapText="1"/>
    </xf>
    <xf numFmtId="0" fontId="0" fillId="0" borderId="24" xfId="0" applyBorder="1"/>
    <xf numFmtId="0" fontId="0" fillId="35" borderId="22" xfId="0" applyFill="1" applyBorder="1"/>
    <xf numFmtId="0" fontId="0" fillId="39" borderId="0" xfId="0" applyFill="1"/>
    <xf numFmtId="0" fontId="0" fillId="0" borderId="31" xfId="0" applyBorder="1" applyAlignment="1">
      <alignment horizontal="center"/>
    </xf>
    <xf numFmtId="164" fontId="0" fillId="35" borderId="0" xfId="0" applyNumberFormat="1" applyFill="1"/>
    <xf numFmtId="164" fontId="0" fillId="39" borderId="0" xfId="0" applyNumberFormat="1" applyFill="1"/>
    <xf numFmtId="14" fontId="0" fillId="39" borderId="0" xfId="0" applyNumberFormat="1" applyFill="1"/>
    <xf numFmtId="0" fontId="0" fillId="0" borderId="32" xfId="0" applyBorder="1"/>
    <xf numFmtId="4" fontId="0" fillId="0" borderId="0" xfId="0" applyNumberFormat="1"/>
    <xf numFmtId="0" fontId="0" fillId="40" borderId="0" xfId="0" applyFill="1"/>
    <xf numFmtId="0" fontId="0" fillId="0" borderId="21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49" fontId="17" fillId="41" borderId="0" xfId="0" applyNumberFormat="1" applyFont="1" applyFill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16" fillId="35" borderId="22" xfId="0" applyFont="1" applyFill="1" applyBorder="1" applyAlignment="1">
      <alignment horizontal="center"/>
    </xf>
    <xf numFmtId="0" fontId="19" fillId="37" borderId="22" xfId="0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  <xf numFmtId="0" fontId="16" fillId="35" borderId="25" xfId="0" applyFont="1" applyFill="1" applyBorder="1" applyAlignment="1">
      <alignment horizontal="center"/>
    </xf>
    <xf numFmtId="0" fontId="16" fillId="35" borderId="26" xfId="0" applyFont="1" applyFill="1" applyBorder="1" applyAlignment="1">
      <alignment horizontal="center"/>
    </xf>
    <xf numFmtId="0" fontId="16" fillId="38" borderId="2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0" xfId="0" applyBorder="1" applyAlignment="1">
      <alignment horizontal="center"/>
    </xf>
    <xf numFmtId="0" fontId="16" fillId="35" borderId="23" xfId="0" applyFont="1" applyFill="1" applyBorder="1" applyAlignment="1">
      <alignment horizontal="center" vertical="center"/>
    </xf>
    <xf numFmtId="0" fontId="16" fillId="35" borderId="25" xfId="0" applyFont="1" applyFill="1" applyBorder="1" applyAlignment="1">
      <alignment horizontal="center" vertical="center"/>
    </xf>
    <xf numFmtId="0" fontId="16" fillId="35" borderId="26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16" fillId="35" borderId="28" xfId="0" applyFont="1" applyFill="1" applyBorder="1" applyAlignment="1">
      <alignment horizontal="center"/>
    </xf>
    <xf numFmtId="0" fontId="16" fillId="35" borderId="29" xfId="0" applyFont="1" applyFill="1" applyBorder="1" applyAlignment="1">
      <alignment horizontal="center"/>
    </xf>
    <xf numFmtId="0" fontId="19" fillId="37" borderId="27" xfId="0" applyFont="1" applyFill="1" applyBorder="1" applyAlignment="1">
      <alignment horizontal="center"/>
    </xf>
    <xf numFmtId="0" fontId="19" fillId="37" borderId="0" xfId="0" applyFont="1" applyFill="1" applyAlignment="1">
      <alignment horizontal="center"/>
    </xf>
    <xf numFmtId="0" fontId="18" fillId="36" borderId="22" xfId="0" applyFont="1" applyFill="1" applyBorder="1" applyAlignment="1">
      <alignment horizontal="center"/>
    </xf>
    <xf numFmtId="0" fontId="18" fillId="36" borderId="23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4D91-6A2A-428F-A559-2F5D295761B1}">
  <dimension ref="A1:B9"/>
  <sheetViews>
    <sheetView showGridLines="0" workbookViewId="0">
      <pane ySplit="1" topLeftCell="A6" activePane="bottomLeft" state="frozen"/>
      <selection pane="bottomLeft" activeCell="D3" sqref="D3"/>
    </sheetView>
  </sheetViews>
  <sheetFormatPr defaultColWidth="22.1796875" defaultRowHeight="14.5" x14ac:dyDescent="0.35"/>
  <cols>
    <col min="1" max="1" width="6.453125" style="15" customWidth="1"/>
    <col min="2" max="2" width="43.54296875" customWidth="1"/>
  </cols>
  <sheetData>
    <row r="1" spans="1:2" x14ac:dyDescent="0.35">
      <c r="A1" s="16" t="s">
        <v>146</v>
      </c>
      <c r="B1" s="17" t="s">
        <v>147</v>
      </c>
    </row>
    <row r="2" spans="1:2" ht="72.5" x14ac:dyDescent="0.35">
      <c r="A2" s="18">
        <v>1</v>
      </c>
      <c r="B2" s="19" t="s">
        <v>153</v>
      </c>
    </row>
    <row r="3" spans="1:2" ht="72.5" x14ac:dyDescent="0.35">
      <c r="A3" s="18">
        <v>2</v>
      </c>
      <c r="B3" s="19" t="s">
        <v>154</v>
      </c>
    </row>
    <row r="4" spans="1:2" ht="130.5" x14ac:dyDescent="0.35">
      <c r="A4" s="18">
        <v>3</v>
      </c>
      <c r="B4" s="19" t="s">
        <v>155</v>
      </c>
    </row>
    <row r="5" spans="1:2" ht="29" x14ac:dyDescent="0.35">
      <c r="A5" s="18">
        <v>4</v>
      </c>
      <c r="B5" s="19" t="s">
        <v>148</v>
      </c>
    </row>
    <row r="6" spans="1:2" ht="43.5" x14ac:dyDescent="0.35">
      <c r="A6" s="18">
        <v>5</v>
      </c>
      <c r="B6" s="19" t="s">
        <v>149</v>
      </c>
    </row>
    <row r="7" spans="1:2" ht="87" x14ac:dyDescent="0.35">
      <c r="A7" s="18">
        <v>6</v>
      </c>
      <c r="B7" s="19" t="s">
        <v>152</v>
      </c>
    </row>
    <row r="8" spans="1:2" x14ac:dyDescent="0.35">
      <c r="B8" s="20"/>
    </row>
    <row r="9" spans="1:2" ht="101.5" x14ac:dyDescent="0.35">
      <c r="A9" s="16" t="s">
        <v>150</v>
      </c>
      <c r="B9" s="19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C71F-697C-4C7F-AC99-757D80C72872}">
  <dimension ref="A1:AE107"/>
  <sheetViews>
    <sheetView tabSelected="1" zoomScale="87" zoomScaleNormal="87" workbookViewId="0">
      <selection activeCell="E6" sqref="E6"/>
    </sheetView>
  </sheetViews>
  <sheetFormatPr defaultRowHeight="14.5" x14ac:dyDescent="0.35"/>
  <cols>
    <col min="1" max="1" width="15.26953125" customWidth="1"/>
    <col min="2" max="2" width="17.81640625" customWidth="1"/>
    <col min="3" max="3" width="16" customWidth="1"/>
    <col min="4" max="4" width="27" bestFit="1" customWidth="1"/>
    <col min="5" max="5" width="23.453125" customWidth="1"/>
    <col min="6" max="6" width="24.7265625" customWidth="1"/>
    <col min="7" max="7" width="22.453125" bestFit="1" customWidth="1"/>
    <col min="8" max="8" width="15.7265625" bestFit="1" customWidth="1"/>
    <col min="9" max="9" width="17.453125" bestFit="1" customWidth="1"/>
    <col min="10" max="10" width="19.81640625" bestFit="1" customWidth="1"/>
    <col min="11" max="11" width="14.81640625" bestFit="1" customWidth="1"/>
    <col min="12" max="12" width="14.54296875" bestFit="1" customWidth="1"/>
    <col min="13" max="13" width="15.7265625" bestFit="1" customWidth="1"/>
    <col min="14" max="14" width="17.81640625" bestFit="1" customWidth="1"/>
    <col min="15" max="20" width="9" bestFit="1" customWidth="1"/>
    <col min="21" max="21" width="10" bestFit="1" customWidth="1"/>
    <col min="22" max="22" width="15.453125" bestFit="1" customWidth="1"/>
    <col min="23" max="23" width="7" bestFit="1" customWidth="1"/>
    <col min="24" max="24" width="5.26953125" bestFit="1" customWidth="1"/>
    <col min="25" max="25" width="18.453125" bestFit="1" customWidth="1"/>
    <col min="26" max="26" width="5.54296875" bestFit="1" customWidth="1"/>
    <col min="27" max="27" width="18.453125" bestFit="1" customWidth="1"/>
    <col min="28" max="28" width="11" bestFit="1" customWidth="1"/>
    <col min="29" max="29" width="6.81640625" bestFit="1" customWidth="1"/>
    <col min="30" max="30" width="11.1796875" bestFit="1" customWidth="1"/>
    <col min="31" max="31" width="21.453125" bestFit="1" customWidth="1"/>
  </cols>
  <sheetData>
    <row r="1" spans="1:31" ht="15" thickBot="1" x14ac:dyDescent="0.4">
      <c r="A1" s="3" t="s">
        <v>102</v>
      </c>
      <c r="B1" s="3" t="s">
        <v>103</v>
      </c>
      <c r="C1" s="7" t="s">
        <v>121</v>
      </c>
    </row>
    <row r="2" spans="1:31" x14ac:dyDescent="0.35">
      <c r="A2" s="47" t="s">
        <v>104</v>
      </c>
      <c r="B2" s="4" t="s">
        <v>105</v>
      </c>
      <c r="D2" t="s">
        <v>0</v>
      </c>
    </row>
    <row r="3" spans="1:31" ht="15" thickBot="1" x14ac:dyDescent="0.4">
      <c r="A3" s="48"/>
      <c r="B3" s="5" t="s">
        <v>106</v>
      </c>
      <c r="C3" s="1" t="s">
        <v>1</v>
      </c>
      <c r="D3" s="21" t="s">
        <v>156</v>
      </c>
    </row>
    <row r="4" spans="1:31" x14ac:dyDescent="0.35">
      <c r="A4" s="47" t="s">
        <v>107</v>
      </c>
      <c r="B4" s="4" t="s">
        <v>105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</row>
    <row r="5" spans="1:31" ht="15" thickBot="1" x14ac:dyDescent="0.4">
      <c r="A5" s="48"/>
      <c r="B5" s="5" t="s">
        <v>106</v>
      </c>
      <c r="C5" s="1" t="s">
        <v>8</v>
      </c>
      <c r="D5" s="33" t="s">
        <v>156</v>
      </c>
      <c r="E5" s="33" t="s">
        <v>156</v>
      </c>
      <c r="F5">
        <v>1000</v>
      </c>
      <c r="G5" s="21">
        <v>100043</v>
      </c>
      <c r="H5" s="35">
        <v>46113</v>
      </c>
      <c r="I5" s="35">
        <v>46477</v>
      </c>
    </row>
    <row r="6" spans="1:31" x14ac:dyDescent="0.35">
      <c r="A6" s="47" t="s">
        <v>108</v>
      </c>
      <c r="B6" s="4" t="s">
        <v>105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6</v>
      </c>
      <c r="N6" t="s">
        <v>7</v>
      </c>
    </row>
    <row r="7" spans="1:31" ht="15" thickBot="1" x14ac:dyDescent="0.4">
      <c r="A7" s="48"/>
      <c r="B7" s="5" t="s">
        <v>106</v>
      </c>
      <c r="C7" s="1" t="s">
        <v>18</v>
      </c>
      <c r="D7">
        <v>1</v>
      </c>
      <c r="E7" s="21" t="s">
        <v>157</v>
      </c>
      <c r="F7" s="33" t="s">
        <v>157</v>
      </c>
      <c r="G7" s="33" t="str">
        <f>VLOOKUP(+MID(F7,6,2),'Agreement field Values'!$A$6:$E$16,4,0)</f>
        <v>M7_TP_VOL03</v>
      </c>
      <c r="H7" s="33" t="str">
        <f>VLOOKUP(+MID(F7,3,1),'Agreement field Values'!$F$7:$I$11,4)</f>
        <v>M7QTRL</v>
      </c>
      <c r="I7" t="s">
        <v>21</v>
      </c>
      <c r="J7" s="33" t="str">
        <f>VLOOKUP(+MID(F7,3,1),'Agreement field Values'!$F$18:$I$23,4)</f>
        <v>MQ</v>
      </c>
      <c r="K7" t="s">
        <v>23</v>
      </c>
      <c r="L7" t="s">
        <v>24</v>
      </c>
      <c r="M7" s="35">
        <v>46204</v>
      </c>
      <c r="N7" s="35">
        <v>46295</v>
      </c>
    </row>
    <row r="8" spans="1:31" x14ac:dyDescent="0.35">
      <c r="A8" s="47" t="s">
        <v>109</v>
      </c>
      <c r="B8" s="4" t="s">
        <v>105</v>
      </c>
      <c r="D8" t="s">
        <v>26</v>
      </c>
      <c r="E8" t="s">
        <v>27</v>
      </c>
      <c r="F8" s="9" t="s">
        <v>28</v>
      </c>
      <c r="G8" t="s">
        <v>29</v>
      </c>
      <c r="H8" t="s">
        <v>30</v>
      </c>
    </row>
    <row r="9" spans="1:31" ht="15" thickBot="1" x14ac:dyDescent="0.4">
      <c r="A9" s="49"/>
      <c r="B9" s="6" t="s">
        <v>106</v>
      </c>
      <c r="C9" s="1" t="s">
        <v>31</v>
      </c>
      <c r="E9" s="33" t="str">
        <f>+RIGHT(E7,7)</f>
        <v>1028601</v>
      </c>
      <c r="G9" s="37">
        <f>+H5</f>
        <v>46113</v>
      </c>
      <c r="H9" s="37">
        <f>+I5</f>
        <v>46477</v>
      </c>
    </row>
    <row r="10" spans="1:31" x14ac:dyDescent="0.35">
      <c r="A10" s="50" t="s">
        <v>122</v>
      </c>
      <c r="B10" s="4" t="s">
        <v>110</v>
      </c>
      <c r="D10" t="s">
        <v>33</v>
      </c>
      <c r="E10" t="s">
        <v>34</v>
      </c>
      <c r="F10" t="s">
        <v>28</v>
      </c>
      <c r="G10" t="s">
        <v>35</v>
      </c>
    </row>
    <row r="11" spans="1:31" x14ac:dyDescent="0.35">
      <c r="A11" s="51"/>
      <c r="B11" s="6" t="s">
        <v>106</v>
      </c>
      <c r="C11" s="10" t="s">
        <v>36</v>
      </c>
    </row>
    <row r="12" spans="1:31" x14ac:dyDescent="0.35">
      <c r="A12" s="51"/>
      <c r="B12" s="6" t="s">
        <v>111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 t="s">
        <v>52</v>
      </c>
      <c r="T12" t="s">
        <v>53</v>
      </c>
      <c r="U12" t="s">
        <v>54</v>
      </c>
      <c r="V12" s="9" t="s">
        <v>55</v>
      </c>
      <c r="W12" s="9" t="s">
        <v>56</v>
      </c>
      <c r="X12" s="9" t="s">
        <v>57</v>
      </c>
      <c r="Y12" s="9" t="s">
        <v>58</v>
      </c>
      <c r="Z12" s="9" t="s">
        <v>59</v>
      </c>
      <c r="AA12" s="9" t="s">
        <v>60</v>
      </c>
      <c r="AB12" t="s">
        <v>61</v>
      </c>
      <c r="AC12" t="s">
        <v>62</v>
      </c>
      <c r="AD12" t="s">
        <v>63</v>
      </c>
      <c r="AE12" s="9" t="s">
        <v>35</v>
      </c>
    </row>
    <row r="13" spans="1:31" ht="15" thickBot="1" x14ac:dyDescent="0.4">
      <c r="A13" s="52"/>
      <c r="B13" s="5" t="s">
        <v>106</v>
      </c>
      <c r="C13" s="10" t="s">
        <v>64</v>
      </c>
    </row>
    <row r="14" spans="1:31" x14ac:dyDescent="0.35">
      <c r="A14" s="45" t="s">
        <v>142</v>
      </c>
      <c r="B14" s="4" t="s">
        <v>105</v>
      </c>
      <c r="D14" t="s">
        <v>26</v>
      </c>
      <c r="E14" t="s">
        <v>127</v>
      </c>
      <c r="F14" t="s">
        <v>29</v>
      </c>
      <c r="G14" t="s">
        <v>30</v>
      </c>
    </row>
    <row r="15" spans="1:31" ht="15" thickBot="1" x14ac:dyDescent="0.4">
      <c r="A15" s="46"/>
      <c r="B15" s="5" t="s">
        <v>106</v>
      </c>
      <c r="C15" s="1" t="s">
        <v>128</v>
      </c>
      <c r="D15" t="str">
        <f>E7</f>
        <v>27Q2-TUQ1-1028601</v>
      </c>
      <c r="E15" t="s">
        <v>129</v>
      </c>
      <c r="F15" s="37">
        <f>M7</f>
        <v>46204</v>
      </c>
      <c r="G15" s="37">
        <f>N7</f>
        <v>46295</v>
      </c>
    </row>
    <row r="16" spans="1:31" x14ac:dyDescent="0.35">
      <c r="A16" s="45" t="s">
        <v>143</v>
      </c>
      <c r="B16" s="4" t="s">
        <v>105</v>
      </c>
      <c r="D16" t="s">
        <v>26</v>
      </c>
      <c r="E16" t="s">
        <v>127</v>
      </c>
      <c r="F16" t="s">
        <v>67</v>
      </c>
      <c r="G16" t="s">
        <v>130</v>
      </c>
      <c r="H16" t="s">
        <v>131</v>
      </c>
      <c r="I16" t="s">
        <v>132</v>
      </c>
      <c r="J16" t="s">
        <v>133</v>
      </c>
      <c r="K16" t="s">
        <v>29</v>
      </c>
      <c r="L16" t="s">
        <v>30</v>
      </c>
    </row>
    <row r="17" spans="1:14" ht="15" thickBot="1" x14ac:dyDescent="0.4">
      <c r="A17" s="46"/>
      <c r="B17" s="5" t="s">
        <v>106</v>
      </c>
      <c r="C17" s="1" t="s">
        <v>134</v>
      </c>
      <c r="D17" t="str">
        <f>E7</f>
        <v>27Q2-TUQ1-1028601</v>
      </c>
      <c r="E17" t="s">
        <v>129</v>
      </c>
      <c r="F17" t="s">
        <v>70</v>
      </c>
      <c r="G17" t="s">
        <v>135</v>
      </c>
      <c r="H17">
        <v>1</v>
      </c>
      <c r="I17" t="s">
        <v>136</v>
      </c>
      <c r="J17">
        <v>100</v>
      </c>
      <c r="K17" s="2">
        <f>M7</f>
        <v>46204</v>
      </c>
      <c r="L17" s="13">
        <f>N7</f>
        <v>46295</v>
      </c>
    </row>
    <row r="18" spans="1:14" ht="15" customHeight="1" x14ac:dyDescent="0.35">
      <c r="A18" s="53" t="s">
        <v>112</v>
      </c>
      <c r="B18" s="4" t="s">
        <v>105</v>
      </c>
      <c r="D18" t="s">
        <v>26</v>
      </c>
      <c r="E18" t="s">
        <v>65</v>
      </c>
      <c r="F18" t="s">
        <v>66</v>
      </c>
      <c r="G18" t="s">
        <v>67</v>
      </c>
      <c r="H18" s="11" t="s">
        <v>28</v>
      </c>
      <c r="I18" t="s">
        <v>29</v>
      </c>
      <c r="J18" t="s">
        <v>30</v>
      </c>
    </row>
    <row r="19" spans="1:14" ht="15" thickBot="1" x14ac:dyDescent="0.4">
      <c r="A19" s="54"/>
      <c r="B19" s="5" t="s">
        <v>106</v>
      </c>
      <c r="C19" s="1" t="s">
        <v>68</v>
      </c>
      <c r="D19" s="33" t="str">
        <f>$E$7</f>
        <v>27Q2-TUQ1-1028601</v>
      </c>
      <c r="E19" s="21" t="s">
        <v>284</v>
      </c>
      <c r="F19" t="s">
        <v>72</v>
      </c>
      <c r="G19" t="s">
        <v>70</v>
      </c>
      <c r="H19" s="21" t="s">
        <v>71</v>
      </c>
      <c r="I19" s="37">
        <f>$K$17</f>
        <v>46204</v>
      </c>
      <c r="J19" s="36">
        <f>$L$17</f>
        <v>46295</v>
      </c>
    </row>
    <row r="20" spans="1:14" x14ac:dyDescent="0.35">
      <c r="A20" s="54"/>
      <c r="B20" s="38" t="s">
        <v>106</v>
      </c>
      <c r="C20" s="1" t="s">
        <v>68</v>
      </c>
      <c r="D20" s="33" t="str">
        <f>$E$7</f>
        <v>27Q2-TUQ1-1028601</v>
      </c>
      <c r="E20" s="21" t="s">
        <v>285</v>
      </c>
      <c r="F20" t="s">
        <v>72</v>
      </c>
      <c r="G20" t="s">
        <v>70</v>
      </c>
      <c r="H20" s="21" t="s">
        <v>73</v>
      </c>
      <c r="I20" s="37">
        <f t="shared" ref="I20:I30" si="0">$K$17</f>
        <v>46204</v>
      </c>
      <c r="J20" s="36">
        <f t="shared" ref="J20:J30" si="1">$L$17</f>
        <v>46295</v>
      </c>
    </row>
    <row r="21" spans="1:14" x14ac:dyDescent="0.35">
      <c r="A21" s="54"/>
      <c r="B21" s="38" t="s">
        <v>106</v>
      </c>
      <c r="C21" s="1" t="s">
        <v>68</v>
      </c>
      <c r="D21" s="33" t="str">
        <f t="shared" ref="D21:D24" si="2">$E$7</f>
        <v>27Q2-TUQ1-1028601</v>
      </c>
      <c r="E21" s="21" t="s">
        <v>286</v>
      </c>
      <c r="F21" t="s">
        <v>72</v>
      </c>
      <c r="G21" t="s">
        <v>70</v>
      </c>
      <c r="H21" s="21" t="s">
        <v>290</v>
      </c>
      <c r="I21" s="37">
        <f t="shared" si="0"/>
        <v>46204</v>
      </c>
      <c r="J21" s="36">
        <f t="shared" si="1"/>
        <v>46295</v>
      </c>
    </row>
    <row r="22" spans="1:14" x14ac:dyDescent="0.35">
      <c r="A22" s="54"/>
      <c r="B22" s="38" t="s">
        <v>106</v>
      </c>
      <c r="C22" s="1" t="s">
        <v>68</v>
      </c>
      <c r="D22" s="33" t="str">
        <f t="shared" si="2"/>
        <v>27Q2-TUQ1-1028601</v>
      </c>
      <c r="E22" s="21" t="s">
        <v>288</v>
      </c>
      <c r="F22" t="s">
        <v>72</v>
      </c>
      <c r="G22" t="s">
        <v>70</v>
      </c>
      <c r="H22" s="21" t="s">
        <v>291</v>
      </c>
      <c r="I22" s="37">
        <f t="shared" si="0"/>
        <v>46204</v>
      </c>
      <c r="J22" s="36">
        <f t="shared" si="1"/>
        <v>46295</v>
      </c>
    </row>
    <row r="23" spans="1:14" x14ac:dyDescent="0.35">
      <c r="A23" s="54"/>
      <c r="B23" s="38" t="s">
        <v>106</v>
      </c>
      <c r="C23" s="1" t="s">
        <v>68</v>
      </c>
      <c r="D23" s="33" t="str">
        <f t="shared" si="2"/>
        <v>27Q2-TUQ1-1028601</v>
      </c>
      <c r="E23" s="21" t="s">
        <v>287</v>
      </c>
      <c r="F23" t="s">
        <v>72</v>
      </c>
      <c r="G23" t="s">
        <v>70</v>
      </c>
      <c r="H23" s="21" t="s">
        <v>292</v>
      </c>
      <c r="I23" s="37">
        <f t="shared" si="0"/>
        <v>46204</v>
      </c>
      <c r="J23" s="36">
        <f t="shared" si="1"/>
        <v>46295</v>
      </c>
    </row>
    <row r="24" spans="1:14" x14ac:dyDescent="0.35">
      <c r="A24" s="54"/>
      <c r="B24" s="38" t="s">
        <v>106</v>
      </c>
      <c r="C24" s="1" t="s">
        <v>68</v>
      </c>
      <c r="D24" s="33" t="str">
        <f t="shared" si="2"/>
        <v>27Q2-TUQ1-1028601</v>
      </c>
      <c r="E24" s="21" t="s">
        <v>289</v>
      </c>
      <c r="F24" t="s">
        <v>72</v>
      </c>
      <c r="G24" t="s">
        <v>70</v>
      </c>
      <c r="H24" s="21" t="s">
        <v>293</v>
      </c>
      <c r="I24" s="37">
        <f t="shared" si="0"/>
        <v>46204</v>
      </c>
      <c r="J24" s="36">
        <f t="shared" si="1"/>
        <v>46295</v>
      </c>
    </row>
    <row r="25" spans="1:14" x14ac:dyDescent="0.35">
      <c r="A25" s="54"/>
      <c r="B25" s="38" t="s">
        <v>106</v>
      </c>
      <c r="C25" s="1" t="s">
        <v>68</v>
      </c>
      <c r="D25" s="33" t="str">
        <f>$E$7</f>
        <v>27Q2-TUQ1-1028601</v>
      </c>
      <c r="E25" s="21" t="s">
        <v>284</v>
      </c>
      <c r="F25" t="s">
        <v>69</v>
      </c>
      <c r="G25" t="s">
        <v>70</v>
      </c>
      <c r="H25" s="21" t="s">
        <v>296</v>
      </c>
      <c r="I25" s="37">
        <f t="shared" si="0"/>
        <v>46204</v>
      </c>
      <c r="J25" s="36">
        <f t="shared" si="1"/>
        <v>46295</v>
      </c>
    </row>
    <row r="26" spans="1:14" x14ac:dyDescent="0.35">
      <c r="A26" s="54"/>
      <c r="B26" s="38" t="s">
        <v>106</v>
      </c>
      <c r="C26" s="1" t="s">
        <v>68</v>
      </c>
      <c r="D26" s="33" t="str">
        <f>$E$7</f>
        <v>27Q2-TUQ1-1028601</v>
      </c>
      <c r="E26" s="21" t="s">
        <v>285</v>
      </c>
      <c r="F26" t="s">
        <v>69</v>
      </c>
      <c r="G26" t="s">
        <v>70</v>
      </c>
      <c r="H26" s="21" t="s">
        <v>298</v>
      </c>
      <c r="I26" s="37">
        <f t="shared" si="0"/>
        <v>46204</v>
      </c>
      <c r="J26" s="36">
        <f t="shared" si="1"/>
        <v>46295</v>
      </c>
    </row>
    <row r="27" spans="1:14" x14ac:dyDescent="0.35">
      <c r="A27" s="54"/>
      <c r="B27" s="38" t="s">
        <v>106</v>
      </c>
      <c r="C27" s="1" t="s">
        <v>68</v>
      </c>
      <c r="D27" s="33" t="str">
        <f t="shared" ref="D27:D30" si="3">$E$7</f>
        <v>27Q2-TUQ1-1028601</v>
      </c>
      <c r="E27" s="21" t="s">
        <v>286</v>
      </c>
      <c r="F27" t="s">
        <v>69</v>
      </c>
      <c r="G27" t="s">
        <v>70</v>
      </c>
      <c r="H27" s="21" t="s">
        <v>299</v>
      </c>
      <c r="I27" s="37">
        <f t="shared" si="0"/>
        <v>46204</v>
      </c>
      <c r="J27" s="36">
        <f t="shared" si="1"/>
        <v>46295</v>
      </c>
    </row>
    <row r="28" spans="1:14" x14ac:dyDescent="0.35">
      <c r="A28" s="54"/>
      <c r="B28" s="38" t="s">
        <v>106</v>
      </c>
      <c r="C28" s="1" t="s">
        <v>68</v>
      </c>
      <c r="D28" s="33" t="str">
        <f t="shared" si="3"/>
        <v>27Q2-TUQ1-1028601</v>
      </c>
      <c r="E28" s="21" t="s">
        <v>288</v>
      </c>
      <c r="F28" t="s">
        <v>69</v>
      </c>
      <c r="G28" t="s">
        <v>70</v>
      </c>
      <c r="H28" s="21" t="s">
        <v>300</v>
      </c>
      <c r="I28" s="37">
        <f t="shared" si="0"/>
        <v>46204</v>
      </c>
      <c r="J28" s="36">
        <f t="shared" si="1"/>
        <v>46295</v>
      </c>
    </row>
    <row r="29" spans="1:14" x14ac:dyDescent="0.35">
      <c r="A29" s="54"/>
      <c r="B29" s="38" t="s">
        <v>106</v>
      </c>
      <c r="C29" s="1" t="s">
        <v>68</v>
      </c>
      <c r="D29" s="33" t="str">
        <f t="shared" si="3"/>
        <v>27Q2-TUQ1-1028601</v>
      </c>
      <c r="E29" s="21" t="s">
        <v>287</v>
      </c>
      <c r="F29" t="s">
        <v>69</v>
      </c>
      <c r="G29" t="s">
        <v>70</v>
      </c>
      <c r="H29" s="21" t="s">
        <v>301</v>
      </c>
      <c r="I29" s="37">
        <f t="shared" si="0"/>
        <v>46204</v>
      </c>
      <c r="J29" s="36">
        <f t="shared" si="1"/>
        <v>46295</v>
      </c>
    </row>
    <row r="30" spans="1:14" ht="15" thickBot="1" x14ac:dyDescent="0.4">
      <c r="A30" s="55"/>
      <c r="B30" s="38" t="s">
        <v>106</v>
      </c>
      <c r="C30" s="1" t="s">
        <v>68</v>
      </c>
      <c r="D30" s="33" t="str">
        <f t="shared" si="3"/>
        <v>27Q2-TUQ1-1028601</v>
      </c>
      <c r="E30" s="21" t="s">
        <v>289</v>
      </c>
      <c r="F30" t="s">
        <v>69</v>
      </c>
      <c r="G30" t="s">
        <v>70</v>
      </c>
      <c r="H30" s="21" t="s">
        <v>302</v>
      </c>
      <c r="I30" s="37">
        <f t="shared" si="0"/>
        <v>46204</v>
      </c>
      <c r="J30" s="36">
        <f t="shared" si="1"/>
        <v>46295</v>
      </c>
    </row>
    <row r="31" spans="1:14" ht="15" customHeight="1" x14ac:dyDescent="0.35">
      <c r="A31" s="53" t="s">
        <v>113</v>
      </c>
      <c r="B31" s="4" t="s">
        <v>114</v>
      </c>
      <c r="D31" t="s">
        <v>26</v>
      </c>
      <c r="E31" t="s">
        <v>74</v>
      </c>
      <c r="F31" t="s">
        <v>75</v>
      </c>
      <c r="G31" t="s">
        <v>76</v>
      </c>
      <c r="H31" t="s">
        <v>77</v>
      </c>
      <c r="I31" t="s">
        <v>78</v>
      </c>
      <c r="J31" t="s">
        <v>79</v>
      </c>
      <c r="K31" t="s">
        <v>80</v>
      </c>
      <c r="L31" t="s">
        <v>29</v>
      </c>
      <c r="M31" t="s">
        <v>30</v>
      </c>
      <c r="N31" t="s">
        <v>81</v>
      </c>
    </row>
    <row r="32" spans="1:14" x14ac:dyDescent="0.35">
      <c r="A32" s="54"/>
      <c r="B32" s="6" t="s">
        <v>106</v>
      </c>
      <c r="C32" s="1" t="s">
        <v>82</v>
      </c>
      <c r="D32" s="33" t="str">
        <f>+$E$7</f>
        <v>27Q2-TUQ1-1028601</v>
      </c>
      <c r="E32" s="33" t="str">
        <f>+E19</f>
        <v>FL</v>
      </c>
      <c r="F32" t="s">
        <v>284</v>
      </c>
      <c r="G32" s="39"/>
      <c r="H32" t="s">
        <v>294</v>
      </c>
      <c r="I32" t="s">
        <v>279</v>
      </c>
      <c r="J32" s="21">
        <v>161</v>
      </c>
      <c r="K32" t="s">
        <v>91</v>
      </c>
      <c r="L32" s="37">
        <f>$M$7</f>
        <v>46204</v>
      </c>
      <c r="M32" s="37">
        <f>$N$7</f>
        <v>46295</v>
      </c>
    </row>
    <row r="33" spans="1:14" x14ac:dyDescent="0.35">
      <c r="A33" s="54"/>
      <c r="B33" s="6" t="s">
        <v>115</v>
      </c>
      <c r="D33" t="s">
        <v>85</v>
      </c>
      <c r="E33" t="s">
        <v>86</v>
      </c>
      <c r="F33" t="s">
        <v>87</v>
      </c>
      <c r="G33" t="s">
        <v>88</v>
      </c>
    </row>
    <row r="34" spans="1:14" x14ac:dyDescent="0.35">
      <c r="A34" s="54"/>
      <c r="B34" s="6" t="s">
        <v>106</v>
      </c>
      <c r="C34" s="1" t="s">
        <v>89</v>
      </c>
      <c r="D34" t="s">
        <v>90</v>
      </c>
      <c r="E34" t="s">
        <v>69</v>
      </c>
      <c r="F34" s="40" t="s">
        <v>294</v>
      </c>
      <c r="G34" t="s">
        <v>276</v>
      </c>
    </row>
    <row r="35" spans="1:14" x14ac:dyDescent="0.35">
      <c r="A35" s="54"/>
      <c r="B35" s="6" t="s">
        <v>116</v>
      </c>
      <c r="D35" t="s">
        <v>93</v>
      </c>
      <c r="E35" t="s">
        <v>76</v>
      </c>
      <c r="F35" t="s">
        <v>94</v>
      </c>
    </row>
    <row r="36" spans="1:14" x14ac:dyDescent="0.35">
      <c r="A36" s="54"/>
      <c r="B36" s="6" t="s">
        <v>106</v>
      </c>
      <c r="C36" s="1" t="s">
        <v>95</v>
      </c>
      <c r="D36">
        <v>85</v>
      </c>
      <c r="E36" s="21">
        <f>+$E$38*30%</f>
        <v>0.44999999999999996</v>
      </c>
    </row>
    <row r="37" spans="1:14" x14ac:dyDescent="0.35">
      <c r="A37" s="54"/>
      <c r="B37" s="6" t="s">
        <v>106</v>
      </c>
      <c r="C37" s="1" t="s">
        <v>95</v>
      </c>
      <c r="D37">
        <v>90</v>
      </c>
      <c r="E37" s="21">
        <f>+$E$38*60%</f>
        <v>0.89999999999999991</v>
      </c>
    </row>
    <row r="38" spans="1:14" ht="15" thickBot="1" x14ac:dyDescent="0.4">
      <c r="A38" s="54"/>
      <c r="B38" s="5" t="s">
        <v>106</v>
      </c>
      <c r="C38" s="1" t="s">
        <v>95</v>
      </c>
      <c r="D38">
        <v>100</v>
      </c>
      <c r="E38" s="21">
        <v>1.5</v>
      </c>
    </row>
    <row r="39" spans="1:14" ht="15" customHeight="1" x14ac:dyDescent="0.35">
      <c r="A39" s="54"/>
      <c r="B39" s="4" t="s">
        <v>114</v>
      </c>
      <c r="D39" t="s">
        <v>26</v>
      </c>
      <c r="E39" t="s">
        <v>74</v>
      </c>
      <c r="F39" t="s">
        <v>75</v>
      </c>
      <c r="G39" t="s">
        <v>76</v>
      </c>
      <c r="H39" t="s">
        <v>77</v>
      </c>
      <c r="I39" t="s">
        <v>78</v>
      </c>
      <c r="J39" t="s">
        <v>79</v>
      </c>
      <c r="K39" t="s">
        <v>80</v>
      </c>
      <c r="L39" t="s">
        <v>29</v>
      </c>
      <c r="M39" t="s">
        <v>30</v>
      </c>
      <c r="N39" t="s">
        <v>81</v>
      </c>
    </row>
    <row r="40" spans="1:14" x14ac:dyDescent="0.35">
      <c r="A40" s="54"/>
      <c r="B40" s="6"/>
      <c r="C40" s="1" t="s">
        <v>82</v>
      </c>
      <c r="D40" t="str">
        <f t="shared" ref="D40:D72" si="4">+$E$7</f>
        <v>27Q2-TUQ1-1028601</v>
      </c>
      <c r="E40" s="33" t="str">
        <f>+E20</f>
        <v>TL</v>
      </c>
      <c r="F40" t="str">
        <f>E40</f>
        <v>TL</v>
      </c>
      <c r="G40" s="39"/>
      <c r="H40" t="s">
        <v>294</v>
      </c>
      <c r="I40" t="s">
        <v>279</v>
      </c>
      <c r="J40">
        <v>160</v>
      </c>
      <c r="K40" t="s">
        <v>91</v>
      </c>
      <c r="L40" s="37">
        <f>$M$7</f>
        <v>46204</v>
      </c>
      <c r="M40" s="37">
        <f>$N$7</f>
        <v>46295</v>
      </c>
    </row>
    <row r="41" spans="1:14" x14ac:dyDescent="0.35">
      <c r="A41" s="54"/>
      <c r="B41" s="6" t="s">
        <v>115</v>
      </c>
      <c r="D41" t="s">
        <v>85</v>
      </c>
      <c r="E41" t="s">
        <v>86</v>
      </c>
      <c r="F41" t="s">
        <v>87</v>
      </c>
      <c r="G41" t="s">
        <v>88</v>
      </c>
    </row>
    <row r="42" spans="1:14" x14ac:dyDescent="0.35">
      <c r="A42" s="54"/>
      <c r="B42" s="6" t="s">
        <v>106</v>
      </c>
      <c r="C42" s="1" t="s">
        <v>89</v>
      </c>
      <c r="D42" t="s">
        <v>90</v>
      </c>
      <c r="E42" t="s">
        <v>69</v>
      </c>
      <c r="F42" s="40" t="s">
        <v>294</v>
      </c>
      <c r="G42" t="s">
        <v>276</v>
      </c>
    </row>
    <row r="43" spans="1:14" x14ac:dyDescent="0.35">
      <c r="A43" s="54"/>
      <c r="B43" s="6" t="s">
        <v>116</v>
      </c>
      <c r="D43" t="s">
        <v>93</v>
      </c>
      <c r="E43" t="s">
        <v>76</v>
      </c>
      <c r="F43" t="s">
        <v>94</v>
      </c>
    </row>
    <row r="44" spans="1:14" x14ac:dyDescent="0.35">
      <c r="A44" s="54"/>
      <c r="B44" s="6" t="s">
        <v>106</v>
      </c>
      <c r="C44" s="1" t="s">
        <v>95</v>
      </c>
      <c r="D44">
        <v>85</v>
      </c>
      <c r="E44" s="21">
        <f>+$E$38*30%</f>
        <v>0.44999999999999996</v>
      </c>
    </row>
    <row r="45" spans="1:14" x14ac:dyDescent="0.35">
      <c r="A45" s="54"/>
      <c r="B45" s="6" t="s">
        <v>106</v>
      </c>
      <c r="C45" s="1" t="s">
        <v>95</v>
      </c>
      <c r="D45">
        <v>90</v>
      </c>
      <c r="E45" s="21">
        <f>+$E$38*60%</f>
        <v>0.89999999999999991</v>
      </c>
    </row>
    <row r="46" spans="1:14" ht="15" thickBot="1" x14ac:dyDescent="0.4">
      <c r="A46" s="54"/>
      <c r="B46" s="5" t="s">
        <v>106</v>
      </c>
      <c r="C46" s="1" t="s">
        <v>95</v>
      </c>
      <c r="D46">
        <v>100</v>
      </c>
      <c r="E46" s="21">
        <v>1.5</v>
      </c>
    </row>
    <row r="47" spans="1:14" ht="15" customHeight="1" x14ac:dyDescent="0.35">
      <c r="A47" s="54"/>
      <c r="B47" s="4" t="s">
        <v>114</v>
      </c>
      <c r="D47" t="s">
        <v>26</v>
      </c>
      <c r="E47" t="s">
        <v>74</v>
      </c>
      <c r="F47" t="s">
        <v>75</v>
      </c>
      <c r="G47" t="s">
        <v>76</v>
      </c>
      <c r="H47" t="s">
        <v>77</v>
      </c>
      <c r="I47" t="s">
        <v>78</v>
      </c>
      <c r="J47" t="s">
        <v>79</v>
      </c>
      <c r="K47" t="s">
        <v>80</v>
      </c>
      <c r="L47" t="s">
        <v>29</v>
      </c>
      <c r="M47" t="s">
        <v>30</v>
      </c>
      <c r="N47" t="s">
        <v>81</v>
      </c>
    </row>
    <row r="48" spans="1:14" x14ac:dyDescent="0.35">
      <c r="A48" s="54"/>
      <c r="B48" s="6"/>
      <c r="C48" s="1" t="s">
        <v>82</v>
      </c>
      <c r="D48" t="str">
        <f t="shared" si="4"/>
        <v>27Q2-TUQ1-1028601</v>
      </c>
      <c r="E48" t="str">
        <f>+E21</f>
        <v>MW</v>
      </c>
      <c r="F48" t="str">
        <f>E48</f>
        <v>MW</v>
      </c>
      <c r="G48" s="39"/>
      <c r="H48" t="s">
        <v>294</v>
      </c>
      <c r="I48" t="s">
        <v>279</v>
      </c>
      <c r="J48">
        <v>599</v>
      </c>
      <c r="K48" t="s">
        <v>91</v>
      </c>
      <c r="L48" s="37">
        <f>$M$7</f>
        <v>46204</v>
      </c>
      <c r="M48" s="37">
        <f>$N$7</f>
        <v>46295</v>
      </c>
    </row>
    <row r="49" spans="1:14" x14ac:dyDescent="0.35">
      <c r="A49" s="54"/>
      <c r="B49" s="6" t="s">
        <v>115</v>
      </c>
      <c r="D49" t="s">
        <v>85</v>
      </c>
      <c r="E49" t="s">
        <v>86</v>
      </c>
      <c r="F49" t="s">
        <v>87</v>
      </c>
      <c r="G49" t="s">
        <v>88</v>
      </c>
    </row>
    <row r="50" spans="1:14" x14ac:dyDescent="0.35">
      <c r="A50" s="54"/>
      <c r="B50" s="6" t="s">
        <v>106</v>
      </c>
      <c r="C50" s="1" t="s">
        <v>89</v>
      </c>
      <c r="D50" t="s">
        <v>90</v>
      </c>
      <c r="E50" t="s">
        <v>69</v>
      </c>
      <c r="F50" t="s">
        <v>294</v>
      </c>
      <c r="G50" t="s">
        <v>276</v>
      </c>
    </row>
    <row r="51" spans="1:14" x14ac:dyDescent="0.35">
      <c r="A51" s="54"/>
      <c r="B51" s="6" t="s">
        <v>116</v>
      </c>
      <c r="D51" t="s">
        <v>93</v>
      </c>
      <c r="E51" t="s">
        <v>76</v>
      </c>
      <c r="F51" t="s">
        <v>94</v>
      </c>
    </row>
    <row r="52" spans="1:14" x14ac:dyDescent="0.35">
      <c r="A52" s="54"/>
      <c r="B52" s="6" t="s">
        <v>106</v>
      </c>
      <c r="C52" s="1" t="s">
        <v>95</v>
      </c>
      <c r="D52">
        <v>85</v>
      </c>
      <c r="E52" s="21">
        <f>+$E$38*30%</f>
        <v>0.44999999999999996</v>
      </c>
    </row>
    <row r="53" spans="1:14" x14ac:dyDescent="0.35">
      <c r="A53" s="54"/>
      <c r="B53" s="6" t="s">
        <v>106</v>
      </c>
      <c r="C53" s="1" t="s">
        <v>95</v>
      </c>
      <c r="D53">
        <v>90</v>
      </c>
      <c r="E53" s="21">
        <f>+$E$38*60%</f>
        <v>0.89999999999999991</v>
      </c>
    </row>
    <row r="54" spans="1:14" ht="15" thickBot="1" x14ac:dyDescent="0.4">
      <c r="A54" s="54"/>
      <c r="B54" s="5" t="s">
        <v>106</v>
      </c>
      <c r="C54" s="1" t="s">
        <v>95</v>
      </c>
      <c r="D54">
        <v>100</v>
      </c>
      <c r="E54" s="21">
        <v>1.5</v>
      </c>
    </row>
    <row r="55" spans="1:14" ht="15" customHeight="1" x14ac:dyDescent="0.35">
      <c r="A55" s="54"/>
      <c r="B55" s="4" t="s">
        <v>114</v>
      </c>
      <c r="D55" t="s">
        <v>26</v>
      </c>
      <c r="E55" t="s">
        <v>74</v>
      </c>
      <c r="F55" t="s">
        <v>75</v>
      </c>
      <c r="G55" t="s">
        <v>76</v>
      </c>
      <c r="H55" t="s">
        <v>77</v>
      </c>
      <c r="I55" t="s">
        <v>78</v>
      </c>
      <c r="J55" t="s">
        <v>79</v>
      </c>
      <c r="K55" t="s">
        <v>80</v>
      </c>
      <c r="L55" t="s">
        <v>29</v>
      </c>
      <c r="M55" t="s">
        <v>30</v>
      </c>
      <c r="N55" t="s">
        <v>81</v>
      </c>
    </row>
    <row r="56" spans="1:14" x14ac:dyDescent="0.35">
      <c r="A56" s="54"/>
      <c r="B56" s="6"/>
      <c r="C56" s="1" t="s">
        <v>82</v>
      </c>
      <c r="D56" t="str">
        <f t="shared" si="4"/>
        <v>27Q2-TUQ1-1028601</v>
      </c>
      <c r="E56" t="str">
        <f>+E22</f>
        <v>CD</v>
      </c>
      <c r="F56" t="str">
        <f>E56</f>
        <v>CD</v>
      </c>
      <c r="G56" s="39"/>
      <c r="H56" t="s">
        <v>294</v>
      </c>
      <c r="I56" t="s">
        <v>279</v>
      </c>
      <c r="J56">
        <v>95</v>
      </c>
      <c r="K56" t="s">
        <v>91</v>
      </c>
      <c r="L56" s="37">
        <f>$M$7</f>
        <v>46204</v>
      </c>
      <c r="M56" s="37">
        <f>$N$7</f>
        <v>46295</v>
      </c>
    </row>
    <row r="57" spans="1:14" x14ac:dyDescent="0.35">
      <c r="A57" s="54"/>
      <c r="B57" s="6" t="s">
        <v>115</v>
      </c>
      <c r="D57" t="s">
        <v>85</v>
      </c>
      <c r="E57" t="s">
        <v>86</v>
      </c>
      <c r="F57" t="s">
        <v>87</v>
      </c>
      <c r="G57" t="s">
        <v>88</v>
      </c>
    </row>
    <row r="58" spans="1:14" x14ac:dyDescent="0.35">
      <c r="A58" s="54"/>
      <c r="B58" s="6" t="s">
        <v>106</v>
      </c>
      <c r="C58" s="1" t="s">
        <v>89</v>
      </c>
      <c r="D58" t="s">
        <v>90</v>
      </c>
      <c r="E58" t="s">
        <v>69</v>
      </c>
      <c r="F58" t="s">
        <v>294</v>
      </c>
      <c r="G58" t="s">
        <v>276</v>
      </c>
    </row>
    <row r="59" spans="1:14" x14ac:dyDescent="0.35">
      <c r="A59" s="54"/>
      <c r="B59" s="6" t="s">
        <v>116</v>
      </c>
      <c r="D59" t="s">
        <v>93</v>
      </c>
      <c r="E59" t="s">
        <v>76</v>
      </c>
      <c r="F59" t="s">
        <v>94</v>
      </c>
    </row>
    <row r="60" spans="1:14" x14ac:dyDescent="0.35">
      <c r="A60" s="54"/>
      <c r="B60" s="6" t="s">
        <v>106</v>
      </c>
      <c r="C60" s="1" t="s">
        <v>95</v>
      </c>
      <c r="D60">
        <v>85</v>
      </c>
      <c r="E60" s="21">
        <f>+$E$38*30%</f>
        <v>0.44999999999999996</v>
      </c>
    </row>
    <row r="61" spans="1:14" x14ac:dyDescent="0.35">
      <c r="A61" s="54"/>
      <c r="B61" s="6" t="s">
        <v>106</v>
      </c>
      <c r="C61" s="1" t="s">
        <v>95</v>
      </c>
      <c r="D61">
        <v>90</v>
      </c>
      <c r="E61" s="21">
        <f>+$E$38*60%</f>
        <v>0.89999999999999991</v>
      </c>
    </row>
    <row r="62" spans="1:14" ht="15" thickBot="1" x14ac:dyDescent="0.4">
      <c r="A62" s="54"/>
      <c r="B62" s="5" t="s">
        <v>106</v>
      </c>
      <c r="C62" s="1" t="s">
        <v>95</v>
      </c>
      <c r="D62">
        <v>100</v>
      </c>
      <c r="E62" s="21">
        <v>1.5</v>
      </c>
    </row>
    <row r="63" spans="1:14" ht="15" customHeight="1" x14ac:dyDescent="0.35">
      <c r="A63" s="54"/>
      <c r="B63" s="4" t="s">
        <v>114</v>
      </c>
      <c r="D63" t="s">
        <v>26</v>
      </c>
      <c r="E63" t="s">
        <v>74</v>
      </c>
      <c r="F63" t="s">
        <v>75</v>
      </c>
      <c r="G63" t="s">
        <v>76</v>
      </c>
      <c r="H63" t="s">
        <v>77</v>
      </c>
      <c r="I63" t="s">
        <v>78</v>
      </c>
      <c r="J63" t="s">
        <v>79</v>
      </c>
      <c r="K63" t="s">
        <v>80</v>
      </c>
      <c r="L63" t="s">
        <v>29</v>
      </c>
      <c r="M63" t="s">
        <v>30</v>
      </c>
      <c r="N63" t="s">
        <v>81</v>
      </c>
    </row>
    <row r="64" spans="1:14" x14ac:dyDescent="0.35">
      <c r="A64" s="54"/>
      <c r="B64" s="6"/>
      <c r="C64" s="1" t="s">
        <v>82</v>
      </c>
      <c r="D64" t="str">
        <f t="shared" si="4"/>
        <v>27Q2-TUQ1-1028601</v>
      </c>
      <c r="E64" t="str">
        <f>+E23</f>
        <v>DW</v>
      </c>
      <c r="F64" t="str">
        <f>E64</f>
        <v>DW</v>
      </c>
      <c r="G64" s="39"/>
      <c r="H64" t="s">
        <v>294</v>
      </c>
      <c r="I64" t="s">
        <v>279</v>
      </c>
      <c r="J64">
        <v>12</v>
      </c>
      <c r="K64" t="s">
        <v>91</v>
      </c>
      <c r="L64" s="37">
        <f>$M$7</f>
        <v>46204</v>
      </c>
      <c r="M64" s="37">
        <f>$N$7</f>
        <v>46295</v>
      </c>
    </row>
    <row r="65" spans="1:14" x14ac:dyDescent="0.35">
      <c r="A65" s="54"/>
      <c r="B65" s="6" t="s">
        <v>115</v>
      </c>
      <c r="D65" t="s">
        <v>85</v>
      </c>
      <c r="E65" t="s">
        <v>86</v>
      </c>
      <c r="F65" t="s">
        <v>87</v>
      </c>
      <c r="G65" t="s">
        <v>88</v>
      </c>
    </row>
    <row r="66" spans="1:14" x14ac:dyDescent="0.35">
      <c r="A66" s="54"/>
      <c r="B66" s="6" t="s">
        <v>106</v>
      </c>
      <c r="C66" s="1" t="s">
        <v>89</v>
      </c>
      <c r="D66" t="s">
        <v>90</v>
      </c>
      <c r="E66" t="s">
        <v>69</v>
      </c>
      <c r="F66" t="s">
        <v>294</v>
      </c>
      <c r="G66" t="s">
        <v>276</v>
      </c>
    </row>
    <row r="67" spans="1:14" x14ac:dyDescent="0.35">
      <c r="A67" s="54"/>
      <c r="B67" s="6" t="s">
        <v>116</v>
      </c>
      <c r="D67" t="s">
        <v>93</v>
      </c>
      <c r="E67" t="s">
        <v>76</v>
      </c>
      <c r="F67" t="s">
        <v>94</v>
      </c>
    </row>
    <row r="68" spans="1:14" x14ac:dyDescent="0.35">
      <c r="A68" s="54"/>
      <c r="B68" s="6" t="s">
        <v>106</v>
      </c>
      <c r="C68" s="1" t="s">
        <v>95</v>
      </c>
      <c r="D68">
        <v>85</v>
      </c>
      <c r="E68" s="21">
        <f>+$E$38*30%</f>
        <v>0.44999999999999996</v>
      </c>
    </row>
    <row r="69" spans="1:14" x14ac:dyDescent="0.35">
      <c r="A69" s="54"/>
      <c r="B69" s="6" t="s">
        <v>106</v>
      </c>
      <c r="C69" s="1" t="s">
        <v>95</v>
      </c>
      <c r="D69">
        <v>90</v>
      </c>
      <c r="E69" s="21">
        <f>+$E$38*60%</f>
        <v>0.89999999999999991</v>
      </c>
    </row>
    <row r="70" spans="1:14" ht="15" thickBot="1" x14ac:dyDescent="0.4">
      <c r="A70" s="54"/>
      <c r="B70" s="5" t="s">
        <v>106</v>
      </c>
      <c r="C70" s="1" t="s">
        <v>95</v>
      </c>
      <c r="D70">
        <v>100</v>
      </c>
      <c r="E70" s="21">
        <v>1.5</v>
      </c>
    </row>
    <row r="71" spans="1:14" ht="15" customHeight="1" x14ac:dyDescent="0.35">
      <c r="A71" s="54"/>
      <c r="B71" s="4" t="s">
        <v>114</v>
      </c>
      <c r="D71" t="s">
        <v>26</v>
      </c>
      <c r="E71" t="s">
        <v>74</v>
      </c>
      <c r="F71" t="s">
        <v>75</v>
      </c>
      <c r="G71" t="s">
        <v>76</v>
      </c>
      <c r="H71" t="s">
        <v>77</v>
      </c>
      <c r="I71" t="s">
        <v>78</v>
      </c>
      <c r="J71" t="s">
        <v>79</v>
      </c>
      <c r="K71" t="s">
        <v>80</v>
      </c>
      <c r="L71" t="s">
        <v>29</v>
      </c>
      <c r="M71" t="s">
        <v>30</v>
      </c>
      <c r="N71" t="s">
        <v>81</v>
      </c>
    </row>
    <row r="72" spans="1:14" x14ac:dyDescent="0.35">
      <c r="A72" s="54"/>
      <c r="B72" s="6"/>
      <c r="C72" s="1" t="s">
        <v>82</v>
      </c>
      <c r="D72" t="str">
        <f t="shared" si="4"/>
        <v>27Q2-TUQ1-1028601</v>
      </c>
      <c r="E72" t="str">
        <f>+E24</f>
        <v>KA</v>
      </c>
      <c r="F72" t="str">
        <f>E72</f>
        <v>KA</v>
      </c>
      <c r="G72" s="39"/>
      <c r="H72" t="s">
        <v>294</v>
      </c>
      <c r="I72" t="s">
        <v>279</v>
      </c>
      <c r="J72">
        <v>13</v>
      </c>
      <c r="K72" t="s">
        <v>91</v>
      </c>
      <c r="L72" s="37">
        <f>$M$7</f>
        <v>46204</v>
      </c>
      <c r="M72" s="37">
        <f>$N$7</f>
        <v>46295</v>
      </c>
    </row>
    <row r="73" spans="1:14" x14ac:dyDescent="0.35">
      <c r="A73" s="54"/>
      <c r="B73" s="6" t="s">
        <v>115</v>
      </c>
      <c r="D73" t="s">
        <v>85</v>
      </c>
      <c r="E73" t="s">
        <v>86</v>
      </c>
      <c r="F73" t="s">
        <v>87</v>
      </c>
      <c r="G73" t="s">
        <v>88</v>
      </c>
    </row>
    <row r="74" spans="1:14" x14ac:dyDescent="0.35">
      <c r="A74" s="54"/>
      <c r="B74" s="6" t="s">
        <v>106</v>
      </c>
      <c r="C74" s="1" t="s">
        <v>89</v>
      </c>
      <c r="D74" t="s">
        <v>90</v>
      </c>
      <c r="E74" t="s">
        <v>69</v>
      </c>
      <c r="F74" t="s">
        <v>294</v>
      </c>
      <c r="G74" t="s">
        <v>276</v>
      </c>
    </row>
    <row r="75" spans="1:14" x14ac:dyDescent="0.35">
      <c r="A75" s="54"/>
      <c r="B75" s="6" t="s">
        <v>116</v>
      </c>
      <c r="D75" t="s">
        <v>93</v>
      </c>
      <c r="E75" t="s">
        <v>76</v>
      </c>
      <c r="F75" t="s">
        <v>94</v>
      </c>
    </row>
    <row r="76" spans="1:14" x14ac:dyDescent="0.35">
      <c r="A76" s="54"/>
      <c r="B76" s="6" t="s">
        <v>106</v>
      </c>
      <c r="C76" s="1" t="s">
        <v>95</v>
      </c>
      <c r="D76">
        <v>85</v>
      </c>
      <c r="E76" s="21">
        <f>+$E$38*30%</f>
        <v>0.44999999999999996</v>
      </c>
    </row>
    <row r="77" spans="1:14" x14ac:dyDescent="0.35">
      <c r="A77" s="54"/>
      <c r="B77" s="6" t="s">
        <v>106</v>
      </c>
      <c r="C77" s="1" t="s">
        <v>95</v>
      </c>
      <c r="D77">
        <v>90</v>
      </c>
      <c r="E77" s="21">
        <f>+$E$38*60%</f>
        <v>0.89999999999999991</v>
      </c>
    </row>
    <row r="78" spans="1:14" ht="15" thickBot="1" x14ac:dyDescent="0.4">
      <c r="A78" s="55"/>
      <c r="B78" s="5" t="s">
        <v>106</v>
      </c>
      <c r="C78" s="1" t="s">
        <v>95</v>
      </c>
      <c r="D78">
        <v>100</v>
      </c>
      <c r="E78" s="21">
        <v>1.5</v>
      </c>
    </row>
    <row r="79" spans="1:14" ht="15" customHeight="1" x14ac:dyDescent="0.35">
      <c r="A79" s="42" t="s">
        <v>118</v>
      </c>
      <c r="B79" s="4" t="s">
        <v>119</v>
      </c>
      <c r="D79" t="s">
        <v>33</v>
      </c>
      <c r="E79" t="s">
        <v>34</v>
      </c>
      <c r="F79" t="s">
        <v>28</v>
      </c>
      <c r="G79" t="s">
        <v>35</v>
      </c>
    </row>
    <row r="80" spans="1:14" x14ac:dyDescent="0.35">
      <c r="A80" s="41"/>
      <c r="B80" s="6" t="s">
        <v>106</v>
      </c>
      <c r="C80" s="12" t="s">
        <v>36</v>
      </c>
      <c r="D80" t="s">
        <v>100</v>
      </c>
      <c r="E80" t="s">
        <v>96</v>
      </c>
      <c r="F80" t="s">
        <v>32</v>
      </c>
      <c r="G80" t="s">
        <v>71</v>
      </c>
    </row>
    <row r="81" spans="1:31" x14ac:dyDescent="0.35">
      <c r="A81" s="41"/>
      <c r="B81" s="6" t="s">
        <v>120</v>
      </c>
      <c r="D81" t="s">
        <v>37</v>
      </c>
      <c r="E81" t="s">
        <v>38</v>
      </c>
      <c r="F81" t="s">
        <v>39</v>
      </c>
      <c r="G81" s="12" t="s">
        <v>40</v>
      </c>
      <c r="H81" s="12" t="s">
        <v>41</v>
      </c>
      <c r="I81" s="12" t="s">
        <v>42</v>
      </c>
      <c r="J81" s="12" t="s">
        <v>43</v>
      </c>
      <c r="K81" s="12" t="s">
        <v>44</v>
      </c>
      <c r="L81" s="12" t="s">
        <v>45</v>
      </c>
      <c r="M81" s="12" t="s">
        <v>46</v>
      </c>
      <c r="N81" s="12" t="s">
        <v>47</v>
      </c>
      <c r="O81" s="12" t="s">
        <v>48</v>
      </c>
      <c r="P81" s="12" t="s">
        <v>49</v>
      </c>
      <c r="Q81" s="12" t="s">
        <v>50</v>
      </c>
      <c r="R81" s="12" t="s">
        <v>51</v>
      </c>
      <c r="S81" s="12" t="s">
        <v>52</v>
      </c>
      <c r="T81" s="12" t="s">
        <v>53</v>
      </c>
      <c r="U81" s="12" t="s">
        <v>54</v>
      </c>
      <c r="V81" t="s">
        <v>55</v>
      </c>
      <c r="W81" t="s">
        <v>56</v>
      </c>
      <c r="X81" t="s">
        <v>57</v>
      </c>
      <c r="Y81" t="s">
        <v>58</v>
      </c>
      <c r="Z81" t="s">
        <v>59</v>
      </c>
      <c r="AA81" t="s">
        <v>60</v>
      </c>
      <c r="AB81" t="s">
        <v>61</v>
      </c>
      <c r="AC81" t="s">
        <v>62</v>
      </c>
      <c r="AD81" t="s">
        <v>63</v>
      </c>
      <c r="AE81" s="12" t="s">
        <v>35</v>
      </c>
    </row>
    <row r="82" spans="1:31" x14ac:dyDescent="0.35">
      <c r="A82" s="41"/>
      <c r="B82" s="6" t="s">
        <v>106</v>
      </c>
      <c r="C82" s="12" t="s">
        <v>64</v>
      </c>
      <c r="D82" t="s">
        <v>97</v>
      </c>
      <c r="E82" t="s">
        <v>98</v>
      </c>
      <c r="G82" t="s">
        <v>100</v>
      </c>
      <c r="AD82">
        <v>1</v>
      </c>
      <c r="AE82" t="s">
        <v>71</v>
      </c>
    </row>
    <row r="83" spans="1:31" x14ac:dyDescent="0.35">
      <c r="A83" s="41"/>
      <c r="B83" s="6" t="s">
        <v>106</v>
      </c>
      <c r="C83" s="12" t="s">
        <v>64</v>
      </c>
      <c r="D83" t="s">
        <v>97</v>
      </c>
      <c r="E83" s="21" t="s">
        <v>98</v>
      </c>
      <c r="G83" s="21" t="s">
        <v>297</v>
      </c>
      <c r="AD83">
        <v>1</v>
      </c>
      <c r="AE83" t="s">
        <v>71</v>
      </c>
    </row>
    <row r="84" spans="1:31" x14ac:dyDescent="0.35">
      <c r="A84" s="41"/>
      <c r="B84" s="6" t="s">
        <v>106</v>
      </c>
      <c r="C84" s="12" t="s">
        <v>36</v>
      </c>
      <c r="D84" t="s">
        <v>99</v>
      </c>
      <c r="E84" t="s">
        <v>96</v>
      </c>
      <c r="F84" t="s">
        <v>32</v>
      </c>
      <c r="G84" t="s">
        <v>73</v>
      </c>
    </row>
    <row r="85" spans="1:31" x14ac:dyDescent="0.35">
      <c r="A85" s="41"/>
      <c r="B85" s="6" t="s">
        <v>120</v>
      </c>
      <c r="D85" t="s">
        <v>37</v>
      </c>
      <c r="E85" t="s">
        <v>38</v>
      </c>
      <c r="F85" t="s">
        <v>39</v>
      </c>
      <c r="G85" s="12" t="s">
        <v>40</v>
      </c>
      <c r="H85" s="12" t="s">
        <v>41</v>
      </c>
      <c r="I85" s="12" t="s">
        <v>42</v>
      </c>
      <c r="J85" s="12" t="s">
        <v>43</v>
      </c>
      <c r="K85" s="12" t="s">
        <v>44</v>
      </c>
      <c r="L85" s="12" t="s">
        <v>45</v>
      </c>
      <c r="M85" s="12" t="s">
        <v>46</v>
      </c>
      <c r="N85" s="12" t="s">
        <v>47</v>
      </c>
      <c r="O85" s="12" t="s">
        <v>48</v>
      </c>
      <c r="P85" s="12" t="s">
        <v>49</v>
      </c>
      <c r="Q85" s="12" t="s">
        <v>50</v>
      </c>
      <c r="R85" s="12" t="s">
        <v>51</v>
      </c>
      <c r="S85" s="12" t="s">
        <v>52</v>
      </c>
      <c r="T85" s="12" t="s">
        <v>53</v>
      </c>
      <c r="U85" s="12" t="s">
        <v>54</v>
      </c>
      <c r="V85" t="s">
        <v>55</v>
      </c>
      <c r="W85" t="s">
        <v>56</v>
      </c>
      <c r="X85" t="s">
        <v>57</v>
      </c>
      <c r="Y85" t="s">
        <v>58</v>
      </c>
      <c r="Z85" t="s">
        <v>59</v>
      </c>
      <c r="AA85" t="s">
        <v>60</v>
      </c>
      <c r="AB85" t="s">
        <v>61</v>
      </c>
      <c r="AC85" t="s">
        <v>62</v>
      </c>
      <c r="AD85" t="s">
        <v>63</v>
      </c>
      <c r="AE85" s="12" t="s">
        <v>35</v>
      </c>
    </row>
    <row r="86" spans="1:31" x14ac:dyDescent="0.35">
      <c r="A86" s="41"/>
      <c r="B86" s="6" t="s">
        <v>106</v>
      </c>
      <c r="C86" s="12" t="s">
        <v>64</v>
      </c>
      <c r="D86" t="s">
        <v>97</v>
      </c>
      <c r="E86" t="s">
        <v>98</v>
      </c>
      <c r="G86" t="s">
        <v>99</v>
      </c>
      <c r="AD86">
        <v>1</v>
      </c>
      <c r="AE86" t="s">
        <v>73</v>
      </c>
    </row>
    <row r="87" spans="1:31" x14ac:dyDescent="0.35">
      <c r="A87" s="41"/>
      <c r="B87" s="6" t="s">
        <v>106</v>
      </c>
      <c r="C87" s="12" t="s">
        <v>36</v>
      </c>
      <c r="D87" t="s">
        <v>286</v>
      </c>
      <c r="E87" t="s">
        <v>96</v>
      </c>
      <c r="F87" t="s">
        <v>32</v>
      </c>
      <c r="G87" t="s">
        <v>290</v>
      </c>
    </row>
    <row r="88" spans="1:31" x14ac:dyDescent="0.35">
      <c r="A88" s="41"/>
      <c r="B88" s="6" t="s">
        <v>120</v>
      </c>
      <c r="D88" t="s">
        <v>37</v>
      </c>
      <c r="E88" t="s">
        <v>38</v>
      </c>
      <c r="F88" t="s">
        <v>39</v>
      </c>
      <c r="G88" s="12" t="s">
        <v>40</v>
      </c>
      <c r="H88" s="12" t="s">
        <v>41</v>
      </c>
      <c r="I88" s="12" t="s">
        <v>42</v>
      </c>
      <c r="J88" s="12" t="s">
        <v>43</v>
      </c>
      <c r="K88" s="12" t="s">
        <v>44</v>
      </c>
      <c r="L88" s="12" t="s">
        <v>45</v>
      </c>
      <c r="M88" s="12" t="s">
        <v>46</v>
      </c>
      <c r="N88" s="12" t="s">
        <v>47</v>
      </c>
      <c r="O88" s="12" t="s">
        <v>48</v>
      </c>
      <c r="P88" s="12" t="s">
        <v>49</v>
      </c>
      <c r="Q88" s="12" t="s">
        <v>50</v>
      </c>
      <c r="R88" s="12" t="s">
        <v>51</v>
      </c>
      <c r="S88" s="12" t="s">
        <v>52</v>
      </c>
      <c r="T88" s="12" t="s">
        <v>53</v>
      </c>
      <c r="U88" s="12" t="s">
        <v>54</v>
      </c>
      <c r="V88" t="s">
        <v>55</v>
      </c>
      <c r="W88" t="s">
        <v>56</v>
      </c>
      <c r="X88" t="s">
        <v>57</v>
      </c>
      <c r="Y88" t="s">
        <v>58</v>
      </c>
      <c r="Z88" t="s">
        <v>59</v>
      </c>
      <c r="AA88" t="s">
        <v>60</v>
      </c>
      <c r="AB88" t="s">
        <v>61</v>
      </c>
      <c r="AC88" t="s">
        <v>62</v>
      </c>
      <c r="AD88" t="s">
        <v>63</v>
      </c>
      <c r="AE88" s="12" t="s">
        <v>35</v>
      </c>
    </row>
    <row r="89" spans="1:31" x14ac:dyDescent="0.35">
      <c r="A89" s="41"/>
      <c r="B89" s="6" t="s">
        <v>106</v>
      </c>
      <c r="C89" s="12" t="s">
        <v>64</v>
      </c>
      <c r="D89" t="s">
        <v>97</v>
      </c>
      <c r="E89" t="s">
        <v>98</v>
      </c>
      <c r="G89" t="s">
        <v>286</v>
      </c>
      <c r="AD89">
        <v>1</v>
      </c>
      <c r="AE89" t="s">
        <v>290</v>
      </c>
    </row>
    <row r="90" spans="1:31" x14ac:dyDescent="0.35">
      <c r="A90" s="41"/>
      <c r="B90" s="6" t="s">
        <v>106</v>
      </c>
      <c r="C90" s="12" t="s">
        <v>64</v>
      </c>
      <c r="D90" t="s">
        <v>248</v>
      </c>
      <c r="E90" s="21"/>
      <c r="F90" s="21" t="s">
        <v>295</v>
      </c>
      <c r="AD90">
        <v>1</v>
      </c>
      <c r="AE90" t="s">
        <v>290</v>
      </c>
    </row>
    <row r="91" spans="1:31" x14ac:dyDescent="0.35">
      <c r="A91" s="41"/>
      <c r="B91" s="6" t="s">
        <v>106</v>
      </c>
      <c r="C91" s="12" t="s">
        <v>36</v>
      </c>
      <c r="D91" t="s">
        <v>288</v>
      </c>
      <c r="E91" t="s">
        <v>96</v>
      </c>
      <c r="F91" t="s">
        <v>32</v>
      </c>
      <c r="G91" t="s">
        <v>291</v>
      </c>
    </row>
    <row r="92" spans="1:31" x14ac:dyDescent="0.35">
      <c r="A92" s="41"/>
      <c r="B92" s="6" t="s">
        <v>120</v>
      </c>
      <c r="D92" t="s">
        <v>37</v>
      </c>
      <c r="E92" t="s">
        <v>38</v>
      </c>
      <c r="F92" t="s">
        <v>39</v>
      </c>
      <c r="G92" s="12" t="s">
        <v>40</v>
      </c>
      <c r="H92" s="12" t="s">
        <v>41</v>
      </c>
      <c r="I92" s="12" t="s">
        <v>42</v>
      </c>
      <c r="J92" s="12" t="s">
        <v>43</v>
      </c>
      <c r="K92" s="12" t="s">
        <v>44</v>
      </c>
      <c r="L92" s="12" t="s">
        <v>45</v>
      </c>
      <c r="M92" s="12" t="s">
        <v>46</v>
      </c>
      <c r="N92" s="12" t="s">
        <v>47</v>
      </c>
      <c r="O92" s="12" t="s">
        <v>48</v>
      </c>
      <c r="P92" s="12" t="s">
        <v>49</v>
      </c>
      <c r="Q92" s="12" t="s">
        <v>50</v>
      </c>
      <c r="R92" s="12" t="s">
        <v>51</v>
      </c>
      <c r="S92" s="12" t="s">
        <v>52</v>
      </c>
      <c r="T92" s="12" t="s">
        <v>53</v>
      </c>
      <c r="U92" s="12" t="s">
        <v>54</v>
      </c>
      <c r="V92" t="s">
        <v>55</v>
      </c>
      <c r="W92" t="s">
        <v>56</v>
      </c>
      <c r="X92" t="s">
        <v>57</v>
      </c>
      <c r="Y92" t="s">
        <v>58</v>
      </c>
      <c r="Z92" t="s">
        <v>59</v>
      </c>
      <c r="AA92" t="s">
        <v>60</v>
      </c>
      <c r="AB92" t="s">
        <v>61</v>
      </c>
      <c r="AC92" t="s">
        <v>62</v>
      </c>
      <c r="AD92" t="s">
        <v>63</v>
      </c>
      <c r="AE92" s="12" t="s">
        <v>35</v>
      </c>
    </row>
    <row r="93" spans="1:31" x14ac:dyDescent="0.35">
      <c r="A93" s="41"/>
      <c r="B93" s="6" t="s">
        <v>106</v>
      </c>
      <c r="C93" s="12" t="s">
        <v>64</v>
      </c>
      <c r="D93" t="s">
        <v>97</v>
      </c>
      <c r="E93" t="s">
        <v>98</v>
      </c>
      <c r="G93" t="s">
        <v>288</v>
      </c>
      <c r="AD93">
        <v>1</v>
      </c>
      <c r="AE93" t="s">
        <v>291</v>
      </c>
    </row>
    <row r="94" spans="1:31" x14ac:dyDescent="0.35">
      <c r="A94" s="41"/>
      <c r="B94" s="6" t="s">
        <v>106</v>
      </c>
      <c r="C94" s="12" t="s">
        <v>36</v>
      </c>
      <c r="D94" t="s">
        <v>287</v>
      </c>
      <c r="E94" t="s">
        <v>96</v>
      </c>
      <c r="F94" t="s">
        <v>32</v>
      </c>
      <c r="G94" t="s">
        <v>292</v>
      </c>
    </row>
    <row r="95" spans="1:31" x14ac:dyDescent="0.35">
      <c r="A95" s="41"/>
      <c r="B95" s="6" t="s">
        <v>120</v>
      </c>
      <c r="D95" t="s">
        <v>37</v>
      </c>
      <c r="E95" t="s">
        <v>38</v>
      </c>
      <c r="F95" t="s">
        <v>39</v>
      </c>
      <c r="G95" s="12" t="s">
        <v>40</v>
      </c>
      <c r="H95" s="12" t="s">
        <v>41</v>
      </c>
      <c r="I95" s="12" t="s">
        <v>42</v>
      </c>
      <c r="J95" s="12" t="s">
        <v>43</v>
      </c>
      <c r="K95" s="12" t="s">
        <v>44</v>
      </c>
      <c r="L95" s="12" t="s">
        <v>45</v>
      </c>
      <c r="M95" s="12" t="s">
        <v>46</v>
      </c>
      <c r="N95" s="12" t="s">
        <v>47</v>
      </c>
      <c r="O95" s="12" t="s">
        <v>48</v>
      </c>
      <c r="P95" s="12" t="s">
        <v>49</v>
      </c>
      <c r="Q95" s="12" t="s">
        <v>50</v>
      </c>
      <c r="R95" s="12" t="s">
        <v>51</v>
      </c>
      <c r="S95" s="12" t="s">
        <v>52</v>
      </c>
      <c r="T95" s="12" t="s">
        <v>53</v>
      </c>
      <c r="U95" s="12" t="s">
        <v>54</v>
      </c>
      <c r="V95" t="s">
        <v>55</v>
      </c>
      <c r="W95" t="s">
        <v>56</v>
      </c>
      <c r="X95" t="s">
        <v>57</v>
      </c>
      <c r="Y95" t="s">
        <v>58</v>
      </c>
      <c r="Z95" t="s">
        <v>59</v>
      </c>
      <c r="AA95" t="s">
        <v>60</v>
      </c>
      <c r="AB95" t="s">
        <v>61</v>
      </c>
      <c r="AC95" t="s">
        <v>62</v>
      </c>
      <c r="AD95" t="s">
        <v>63</v>
      </c>
      <c r="AE95" s="12" t="s">
        <v>35</v>
      </c>
    </row>
    <row r="96" spans="1:31" x14ac:dyDescent="0.35">
      <c r="A96" s="41"/>
      <c r="B96" s="6" t="s">
        <v>106</v>
      </c>
      <c r="C96" s="12" t="s">
        <v>64</v>
      </c>
      <c r="D96" t="s">
        <v>97</v>
      </c>
      <c r="E96" t="s">
        <v>98</v>
      </c>
      <c r="G96" t="s">
        <v>287</v>
      </c>
      <c r="AD96">
        <v>1</v>
      </c>
      <c r="AE96" t="s">
        <v>292</v>
      </c>
    </row>
    <row r="97" spans="1:31" x14ac:dyDescent="0.35">
      <c r="A97" s="41"/>
      <c r="B97" s="6" t="s">
        <v>106</v>
      </c>
      <c r="C97" s="12" t="s">
        <v>36</v>
      </c>
      <c r="D97" t="s">
        <v>289</v>
      </c>
      <c r="E97" t="s">
        <v>96</v>
      </c>
      <c r="F97" t="s">
        <v>32</v>
      </c>
      <c r="G97" t="s">
        <v>293</v>
      </c>
    </row>
    <row r="98" spans="1:31" x14ac:dyDescent="0.35">
      <c r="A98" s="41"/>
      <c r="B98" s="6" t="s">
        <v>120</v>
      </c>
      <c r="D98" t="s">
        <v>37</v>
      </c>
      <c r="E98" t="s">
        <v>38</v>
      </c>
      <c r="F98" t="s">
        <v>39</v>
      </c>
      <c r="G98" s="12" t="s">
        <v>40</v>
      </c>
      <c r="H98" s="12" t="s">
        <v>41</v>
      </c>
      <c r="I98" s="12" t="s">
        <v>42</v>
      </c>
      <c r="J98" s="12" t="s">
        <v>43</v>
      </c>
      <c r="K98" s="12" t="s">
        <v>44</v>
      </c>
      <c r="L98" s="12" t="s">
        <v>45</v>
      </c>
      <c r="M98" s="12" t="s">
        <v>46</v>
      </c>
      <c r="N98" s="12" t="s">
        <v>47</v>
      </c>
      <c r="O98" s="12" t="s">
        <v>48</v>
      </c>
      <c r="P98" s="12" t="s">
        <v>49</v>
      </c>
      <c r="Q98" s="12" t="s">
        <v>50</v>
      </c>
      <c r="R98" s="12" t="s">
        <v>51</v>
      </c>
      <c r="S98" s="12" t="s">
        <v>52</v>
      </c>
      <c r="T98" s="12" t="s">
        <v>53</v>
      </c>
      <c r="U98" s="12" t="s">
        <v>54</v>
      </c>
      <c r="V98" t="s">
        <v>55</v>
      </c>
      <c r="W98" t="s">
        <v>56</v>
      </c>
      <c r="X98" t="s">
        <v>57</v>
      </c>
      <c r="Y98" t="s">
        <v>58</v>
      </c>
      <c r="Z98" t="s">
        <v>59</v>
      </c>
      <c r="AA98" t="s">
        <v>60</v>
      </c>
      <c r="AB98" t="s">
        <v>61</v>
      </c>
      <c r="AC98" t="s">
        <v>62</v>
      </c>
      <c r="AD98" t="s">
        <v>63</v>
      </c>
      <c r="AE98" s="12" t="s">
        <v>35</v>
      </c>
    </row>
    <row r="99" spans="1:31" ht="15" thickBot="1" x14ac:dyDescent="0.4">
      <c r="A99" s="43"/>
      <c r="B99" s="6" t="s">
        <v>106</v>
      </c>
      <c r="C99" s="12" t="s">
        <v>64</v>
      </c>
      <c r="D99" t="s">
        <v>97</v>
      </c>
      <c r="E99" t="s">
        <v>98</v>
      </c>
      <c r="G99" t="s">
        <v>289</v>
      </c>
      <c r="AD99">
        <v>1</v>
      </c>
      <c r="AE99" t="s">
        <v>293</v>
      </c>
    </row>
    <row r="100" spans="1:31" x14ac:dyDescent="0.35">
      <c r="A100" s="45" t="s">
        <v>117</v>
      </c>
      <c r="B100" s="4" t="s">
        <v>105</v>
      </c>
      <c r="D100" t="s">
        <v>26</v>
      </c>
      <c r="E100" t="s">
        <v>74</v>
      </c>
      <c r="F100" t="s">
        <v>76</v>
      </c>
      <c r="G100" t="s">
        <v>77</v>
      </c>
      <c r="H100" t="s">
        <v>29</v>
      </c>
      <c r="I100" t="s">
        <v>30</v>
      </c>
      <c r="J100" t="s">
        <v>81</v>
      </c>
    </row>
    <row r="101" spans="1:31" x14ac:dyDescent="0.35">
      <c r="A101" s="56"/>
      <c r="B101" s="6" t="s">
        <v>106</v>
      </c>
      <c r="C101" s="1" t="s">
        <v>101</v>
      </c>
      <c r="D101" s="33" t="str">
        <f t="shared" ref="D101:D106" si="5">$E$7</f>
        <v>27Q2-TUQ1-1028601</v>
      </c>
      <c r="E101" s="21" t="s">
        <v>284</v>
      </c>
      <c r="F101">
        <f>+E38</f>
        <v>1.5</v>
      </c>
      <c r="G101" t="s">
        <v>294</v>
      </c>
      <c r="H101" s="37">
        <f>$M$7</f>
        <v>46204</v>
      </c>
      <c r="I101" s="37">
        <f>$N$7</f>
        <v>46295</v>
      </c>
    </row>
    <row r="102" spans="1:31" x14ac:dyDescent="0.35">
      <c r="A102" s="56"/>
      <c r="B102" s="6" t="s">
        <v>106</v>
      </c>
      <c r="C102" s="1" t="s">
        <v>101</v>
      </c>
      <c r="D102" s="33" t="str">
        <f t="shared" si="5"/>
        <v>27Q2-TUQ1-1028601</v>
      </c>
      <c r="E102" s="21" t="s">
        <v>285</v>
      </c>
      <c r="F102">
        <f>+E46</f>
        <v>1.5</v>
      </c>
      <c r="G102" t="s">
        <v>294</v>
      </c>
      <c r="H102" s="37">
        <f t="shared" ref="H102:H106" si="6">$M$7</f>
        <v>46204</v>
      </c>
      <c r="I102" s="37">
        <f t="shared" ref="I102:I106" si="7">$N$7</f>
        <v>46295</v>
      </c>
    </row>
    <row r="103" spans="1:31" x14ac:dyDescent="0.35">
      <c r="A103" s="56"/>
      <c r="B103" s="6" t="s">
        <v>106</v>
      </c>
      <c r="C103" s="1" t="s">
        <v>101</v>
      </c>
      <c r="D103" s="33" t="str">
        <f t="shared" si="5"/>
        <v>27Q2-TUQ1-1028601</v>
      </c>
      <c r="E103" s="21" t="s">
        <v>286</v>
      </c>
      <c r="F103">
        <f>+E54</f>
        <v>1.5</v>
      </c>
      <c r="G103" t="s">
        <v>294</v>
      </c>
      <c r="H103" s="37">
        <f t="shared" si="6"/>
        <v>46204</v>
      </c>
      <c r="I103" s="37">
        <f t="shared" si="7"/>
        <v>46295</v>
      </c>
    </row>
    <row r="104" spans="1:31" x14ac:dyDescent="0.35">
      <c r="A104" s="56"/>
      <c r="B104" s="6" t="s">
        <v>106</v>
      </c>
      <c r="C104" s="1" t="s">
        <v>101</v>
      </c>
      <c r="D104" s="33" t="str">
        <f t="shared" si="5"/>
        <v>27Q2-TUQ1-1028601</v>
      </c>
      <c r="E104" s="21" t="s">
        <v>288</v>
      </c>
      <c r="F104">
        <f>+E62</f>
        <v>1.5</v>
      </c>
      <c r="G104" t="s">
        <v>294</v>
      </c>
      <c r="H104" s="37">
        <f t="shared" si="6"/>
        <v>46204</v>
      </c>
      <c r="I104" s="37">
        <f t="shared" si="7"/>
        <v>46295</v>
      </c>
    </row>
    <row r="105" spans="1:31" x14ac:dyDescent="0.35">
      <c r="A105" s="56"/>
      <c r="B105" s="6" t="s">
        <v>106</v>
      </c>
      <c r="C105" s="1" t="s">
        <v>101</v>
      </c>
      <c r="D105" s="33" t="str">
        <f t="shared" si="5"/>
        <v>27Q2-TUQ1-1028601</v>
      </c>
      <c r="E105" s="21" t="s">
        <v>287</v>
      </c>
      <c r="F105">
        <f>+E70</f>
        <v>1.5</v>
      </c>
      <c r="G105" t="s">
        <v>294</v>
      </c>
      <c r="H105" s="37">
        <f t="shared" si="6"/>
        <v>46204</v>
      </c>
      <c r="I105" s="37">
        <f t="shared" si="7"/>
        <v>46295</v>
      </c>
    </row>
    <row r="106" spans="1:31" ht="15" thickBot="1" x14ac:dyDescent="0.4">
      <c r="A106" s="46"/>
      <c r="B106" s="5" t="s">
        <v>106</v>
      </c>
      <c r="C106" s="1" t="s">
        <v>101</v>
      </c>
      <c r="D106" s="33" t="str">
        <f t="shared" si="5"/>
        <v>27Q2-TUQ1-1028601</v>
      </c>
      <c r="E106" s="21" t="s">
        <v>289</v>
      </c>
      <c r="F106">
        <f>+E78</f>
        <v>1.5</v>
      </c>
      <c r="G106" t="s">
        <v>294</v>
      </c>
      <c r="H106" s="37">
        <f t="shared" si="6"/>
        <v>46204</v>
      </c>
      <c r="I106" s="37">
        <f t="shared" si="7"/>
        <v>46295</v>
      </c>
    </row>
    <row r="107" spans="1:31" x14ac:dyDescent="0.35">
      <c r="C107" s="44" t="s">
        <v>141</v>
      </c>
    </row>
  </sheetData>
  <mergeCells count="10">
    <mergeCell ref="A31:A78"/>
    <mergeCell ref="A18:A30"/>
    <mergeCell ref="A100:A106"/>
    <mergeCell ref="A16:A17"/>
    <mergeCell ref="A2:A3"/>
    <mergeCell ref="A4:A5"/>
    <mergeCell ref="A6:A7"/>
    <mergeCell ref="A8:A9"/>
    <mergeCell ref="A10:A13"/>
    <mergeCell ref="A14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5385-1677-4F29-9536-2C40C1BF023B}">
  <dimension ref="A1:L115"/>
  <sheetViews>
    <sheetView showGridLines="0" zoomScale="90" zoomScaleNormal="90" workbookViewId="0">
      <selection activeCell="A9" sqref="A9"/>
    </sheetView>
  </sheetViews>
  <sheetFormatPr defaultRowHeight="14.5" x14ac:dyDescent="0.35"/>
  <cols>
    <col min="1" max="1" width="5.54296875" style="15" customWidth="1"/>
    <col min="2" max="2" width="4.81640625" style="22" bestFit="1" customWidth="1"/>
    <col min="3" max="3" width="51.54296875" customWidth="1"/>
    <col min="4" max="4" width="15.1796875" bestFit="1" customWidth="1"/>
    <col min="7" max="7" width="17.453125" bestFit="1" customWidth="1"/>
    <col min="8" max="8" width="22.1796875" bestFit="1" customWidth="1"/>
    <col min="9" max="9" width="14.453125" bestFit="1" customWidth="1"/>
    <col min="10" max="10" width="12.54296875" customWidth="1"/>
    <col min="11" max="11" width="14.1796875" style="15" bestFit="1" customWidth="1"/>
    <col min="12" max="12" width="0.54296875" customWidth="1"/>
    <col min="16" max="16" width="15.1796875" bestFit="1" customWidth="1"/>
  </cols>
  <sheetData>
    <row r="1" spans="1:12" ht="21" x14ac:dyDescent="0.5">
      <c r="A1" s="74" t="s">
        <v>158</v>
      </c>
      <c r="B1" s="74"/>
      <c r="C1" s="74"/>
      <c r="D1" s="74"/>
      <c r="E1" s="74"/>
      <c r="F1" s="74"/>
      <c r="G1" s="74"/>
      <c r="H1" s="74"/>
      <c r="I1" s="74"/>
      <c r="J1" s="74"/>
      <c r="K1" s="75"/>
      <c r="L1" s="63"/>
    </row>
    <row r="2" spans="1:12" x14ac:dyDescent="0.35">
      <c r="L2" s="64"/>
    </row>
    <row r="3" spans="1:12" ht="16" x14ac:dyDescent="0.4">
      <c r="A3" s="18">
        <v>1</v>
      </c>
      <c r="B3" s="58" t="s">
        <v>159</v>
      </c>
      <c r="C3" s="58"/>
      <c r="D3" s="58"/>
      <c r="E3" s="58"/>
      <c r="F3" s="58"/>
      <c r="G3" s="58"/>
      <c r="H3" s="58"/>
      <c r="I3" s="58"/>
      <c r="L3" s="64"/>
    </row>
    <row r="4" spans="1:12" x14ac:dyDescent="0.35">
      <c r="L4" s="64"/>
    </row>
    <row r="5" spans="1:12" x14ac:dyDescent="0.35">
      <c r="B5" s="59" t="s">
        <v>160</v>
      </c>
      <c r="C5" s="60"/>
      <c r="D5" s="60"/>
      <c r="E5" s="61"/>
      <c r="G5" s="57" t="s">
        <v>13</v>
      </c>
      <c r="H5" s="57"/>
      <c r="I5" s="57"/>
      <c r="L5" s="64"/>
    </row>
    <row r="6" spans="1:12" x14ac:dyDescent="0.35">
      <c r="B6" s="24" t="s">
        <v>161</v>
      </c>
      <c r="C6" s="17" t="s">
        <v>162</v>
      </c>
      <c r="D6" s="17" t="s">
        <v>163</v>
      </c>
      <c r="E6" s="17" t="s">
        <v>164</v>
      </c>
      <c r="G6" s="24" t="s">
        <v>161</v>
      </c>
      <c r="H6" s="17" t="s">
        <v>13</v>
      </c>
      <c r="I6" s="17" t="s">
        <v>163</v>
      </c>
      <c r="L6" s="64"/>
    </row>
    <row r="7" spans="1:12" x14ac:dyDescent="0.35">
      <c r="B7" s="25">
        <v>1</v>
      </c>
      <c r="C7" s="14" t="s">
        <v>165</v>
      </c>
      <c r="D7" s="14" t="s">
        <v>166</v>
      </c>
      <c r="E7" s="14" t="s">
        <v>167</v>
      </c>
      <c r="G7" s="25">
        <v>1</v>
      </c>
      <c r="H7" s="14" t="s">
        <v>168</v>
      </c>
      <c r="I7" s="14" t="s">
        <v>169</v>
      </c>
      <c r="L7" s="64"/>
    </row>
    <row r="8" spans="1:12" x14ac:dyDescent="0.35">
      <c r="B8" s="25">
        <v>2</v>
      </c>
      <c r="C8" s="14" t="s">
        <v>170</v>
      </c>
      <c r="D8" s="14" t="s">
        <v>171</v>
      </c>
      <c r="E8" s="14" t="s">
        <v>167</v>
      </c>
      <c r="G8" s="25">
        <v>2</v>
      </c>
      <c r="H8" s="14" t="s">
        <v>172</v>
      </c>
      <c r="I8" s="14" t="s">
        <v>144</v>
      </c>
      <c r="L8" s="64"/>
    </row>
    <row r="9" spans="1:12" x14ac:dyDescent="0.35">
      <c r="A9" s="15" t="s">
        <v>282</v>
      </c>
      <c r="B9" s="25">
        <v>3</v>
      </c>
      <c r="C9" s="32" t="s">
        <v>173</v>
      </c>
      <c r="D9" s="32" t="s">
        <v>126</v>
      </c>
      <c r="E9" s="32" t="s">
        <v>167</v>
      </c>
      <c r="G9" s="25">
        <v>3</v>
      </c>
      <c r="H9" s="14" t="s">
        <v>174</v>
      </c>
      <c r="I9" s="14" t="s">
        <v>175</v>
      </c>
      <c r="L9" s="64"/>
    </row>
    <row r="10" spans="1:12" x14ac:dyDescent="0.35">
      <c r="B10" s="25">
        <v>4</v>
      </c>
      <c r="C10" s="14" t="s">
        <v>176</v>
      </c>
      <c r="D10" s="14" t="s">
        <v>177</v>
      </c>
      <c r="E10" s="14" t="s">
        <v>167</v>
      </c>
      <c r="F10" s="34" t="s">
        <v>283</v>
      </c>
      <c r="G10" s="25">
        <v>4</v>
      </c>
      <c r="H10" s="14" t="s">
        <v>178</v>
      </c>
      <c r="I10" s="14" t="s">
        <v>20</v>
      </c>
      <c r="L10" s="64"/>
    </row>
    <row r="11" spans="1:12" x14ac:dyDescent="0.35">
      <c r="B11" s="25">
        <v>5</v>
      </c>
      <c r="C11" s="26" t="s">
        <v>179</v>
      </c>
      <c r="D11" s="14" t="s">
        <v>180</v>
      </c>
      <c r="E11" s="14" t="s">
        <v>181</v>
      </c>
      <c r="G11" s="25">
        <v>5</v>
      </c>
      <c r="H11" s="14" t="s">
        <v>182</v>
      </c>
      <c r="I11" s="14" t="s">
        <v>183</v>
      </c>
      <c r="L11" s="64"/>
    </row>
    <row r="12" spans="1:12" x14ac:dyDescent="0.35">
      <c r="B12" s="25">
        <v>6</v>
      </c>
      <c r="C12" s="26" t="s">
        <v>184</v>
      </c>
      <c r="D12" s="14" t="s">
        <v>185</v>
      </c>
      <c r="E12" s="14" t="s">
        <v>181</v>
      </c>
      <c r="L12" s="64"/>
    </row>
    <row r="13" spans="1:12" x14ac:dyDescent="0.35">
      <c r="B13" s="25">
        <v>7</v>
      </c>
      <c r="C13" s="26" t="s">
        <v>186</v>
      </c>
      <c r="D13" s="14" t="s">
        <v>19</v>
      </c>
      <c r="E13" s="14" t="s">
        <v>181</v>
      </c>
      <c r="G13" s="57" t="s">
        <v>14</v>
      </c>
      <c r="H13" s="57"/>
      <c r="I13" s="57"/>
      <c r="L13" s="64"/>
    </row>
    <row r="14" spans="1:12" x14ac:dyDescent="0.35">
      <c r="B14" s="25">
        <v>8</v>
      </c>
      <c r="C14" s="26" t="s">
        <v>187</v>
      </c>
      <c r="D14" s="14" t="s">
        <v>188</v>
      </c>
      <c r="E14" s="14" t="s">
        <v>181</v>
      </c>
      <c r="G14" s="24" t="s">
        <v>161</v>
      </c>
      <c r="H14" s="17" t="s">
        <v>14</v>
      </c>
      <c r="I14" s="17" t="s">
        <v>163</v>
      </c>
      <c r="L14" s="64"/>
    </row>
    <row r="15" spans="1:12" x14ac:dyDescent="0.35">
      <c r="B15" s="25">
        <v>9</v>
      </c>
      <c r="C15" s="14" t="s">
        <v>189</v>
      </c>
      <c r="D15" s="14" t="s">
        <v>190</v>
      </c>
      <c r="E15" s="14" t="s">
        <v>181</v>
      </c>
      <c r="G15" s="25">
        <v>1</v>
      </c>
      <c r="H15" s="14" t="s">
        <v>191</v>
      </c>
      <c r="I15" s="14" t="s">
        <v>21</v>
      </c>
      <c r="L15" s="64"/>
    </row>
    <row r="16" spans="1:12" x14ac:dyDescent="0.35">
      <c r="B16" s="25">
        <v>10</v>
      </c>
      <c r="C16" s="14" t="s">
        <v>192</v>
      </c>
      <c r="D16" s="14" t="s">
        <v>193</v>
      </c>
      <c r="E16" s="14" t="s">
        <v>167</v>
      </c>
      <c r="L16" s="64"/>
    </row>
    <row r="17" spans="1:12" x14ac:dyDescent="0.35">
      <c r="G17" s="57" t="s">
        <v>15</v>
      </c>
      <c r="H17" s="57"/>
      <c r="I17" s="57"/>
      <c r="L17" s="64"/>
    </row>
    <row r="18" spans="1:12" x14ac:dyDescent="0.35">
      <c r="E18" s="7"/>
      <c r="G18" s="24" t="s">
        <v>161</v>
      </c>
      <c r="H18" s="17" t="s">
        <v>15</v>
      </c>
      <c r="I18" s="17" t="s">
        <v>163</v>
      </c>
      <c r="L18" s="64"/>
    </row>
    <row r="19" spans="1:12" x14ac:dyDescent="0.35">
      <c r="G19" s="25">
        <v>1</v>
      </c>
      <c r="H19" s="14" t="s">
        <v>168</v>
      </c>
      <c r="I19" s="14" t="s">
        <v>194</v>
      </c>
      <c r="L19" s="64"/>
    </row>
    <row r="20" spans="1:12" x14ac:dyDescent="0.35">
      <c r="G20" s="25">
        <v>2</v>
      </c>
      <c r="H20" s="14" t="s">
        <v>172</v>
      </c>
      <c r="I20" s="14" t="s">
        <v>145</v>
      </c>
      <c r="L20" s="64"/>
    </row>
    <row r="21" spans="1:12" x14ac:dyDescent="0.35">
      <c r="G21" s="25">
        <v>3</v>
      </c>
      <c r="H21" s="14" t="s">
        <v>174</v>
      </c>
      <c r="I21" s="14" t="s">
        <v>195</v>
      </c>
      <c r="L21" s="64"/>
    </row>
    <row r="22" spans="1:12" x14ac:dyDescent="0.35">
      <c r="F22" t="s">
        <v>283</v>
      </c>
      <c r="G22" s="25">
        <v>4</v>
      </c>
      <c r="H22" s="14" t="s">
        <v>178</v>
      </c>
      <c r="I22" s="14" t="s">
        <v>22</v>
      </c>
      <c r="L22" s="64"/>
    </row>
    <row r="23" spans="1:12" x14ac:dyDescent="0.35">
      <c r="G23" s="25">
        <v>5</v>
      </c>
      <c r="H23" s="14" t="s">
        <v>196</v>
      </c>
      <c r="I23" s="14" t="s">
        <v>197</v>
      </c>
      <c r="L23" s="64"/>
    </row>
    <row r="24" spans="1:12" x14ac:dyDescent="0.35">
      <c r="L24" s="64"/>
    </row>
    <row r="25" spans="1:12" x14ac:dyDescent="0.35">
      <c r="L25" s="64"/>
    </row>
    <row r="26" spans="1:12" x14ac:dyDescent="0.35">
      <c r="L26" s="64"/>
    </row>
    <row r="27" spans="1:12" ht="16" x14ac:dyDescent="0.4">
      <c r="A27" s="18">
        <v>2</v>
      </c>
      <c r="B27" s="72" t="s">
        <v>198</v>
      </c>
      <c r="C27" s="73"/>
      <c r="D27" s="73"/>
      <c r="E27" s="73"/>
      <c r="F27" s="73"/>
      <c r="G27" s="73"/>
      <c r="H27" s="73"/>
      <c r="L27" s="64"/>
    </row>
    <row r="28" spans="1:12" x14ac:dyDescent="0.35">
      <c r="L28" s="64"/>
    </row>
    <row r="29" spans="1:12" x14ac:dyDescent="0.35">
      <c r="B29" s="57" t="s">
        <v>55</v>
      </c>
      <c r="C29" s="57"/>
      <c r="D29" s="57"/>
      <c r="F29" s="57" t="s">
        <v>34</v>
      </c>
      <c r="G29" s="57"/>
      <c r="H29" s="57"/>
      <c r="L29" s="64"/>
    </row>
    <row r="30" spans="1:12" x14ac:dyDescent="0.35">
      <c r="B30" s="24" t="s">
        <v>161</v>
      </c>
      <c r="C30" s="17" t="s">
        <v>199</v>
      </c>
      <c r="D30" s="17" t="s">
        <v>163</v>
      </c>
      <c r="F30" s="24" t="s">
        <v>161</v>
      </c>
      <c r="G30" s="17" t="s">
        <v>34</v>
      </c>
      <c r="H30" s="17" t="s">
        <v>163</v>
      </c>
      <c r="L30" s="64"/>
    </row>
    <row r="31" spans="1:12" x14ac:dyDescent="0.35">
      <c r="B31" s="25">
        <v>1</v>
      </c>
      <c r="C31" s="14" t="s">
        <v>55</v>
      </c>
      <c r="D31" s="14" t="s">
        <v>200</v>
      </c>
      <c r="F31" s="25">
        <v>1</v>
      </c>
      <c r="G31" s="14" t="s">
        <v>201</v>
      </c>
      <c r="H31" s="14" t="s">
        <v>202</v>
      </c>
      <c r="L31" s="64"/>
    </row>
    <row r="32" spans="1:12" x14ac:dyDescent="0.35">
      <c r="B32" s="25">
        <v>2</v>
      </c>
      <c r="C32" s="14" t="s">
        <v>56</v>
      </c>
      <c r="D32" s="14" t="s">
        <v>203</v>
      </c>
      <c r="L32" s="64"/>
    </row>
    <row r="33" spans="1:12" ht="42.65" customHeight="1" x14ac:dyDescent="0.35">
      <c r="B33" s="18">
        <v>3</v>
      </c>
      <c r="C33" s="27" t="s">
        <v>57</v>
      </c>
      <c r="D33" s="27" t="s">
        <v>204</v>
      </c>
      <c r="F33" s="69" t="s">
        <v>205</v>
      </c>
      <c r="G33" s="69"/>
      <c r="H33" s="69"/>
      <c r="L33" s="64"/>
    </row>
    <row r="34" spans="1:12" x14ac:dyDescent="0.35">
      <c r="B34" s="25">
        <v>4</v>
      </c>
      <c r="C34" s="14" t="s">
        <v>206</v>
      </c>
      <c r="D34" s="14" t="s">
        <v>207</v>
      </c>
      <c r="L34" s="64"/>
    </row>
    <row r="35" spans="1:12" x14ac:dyDescent="0.35">
      <c r="B35" s="25">
        <v>5</v>
      </c>
      <c r="C35" s="14" t="s">
        <v>59</v>
      </c>
      <c r="D35" s="14" t="s">
        <v>208</v>
      </c>
      <c r="L35" s="64"/>
    </row>
    <row r="36" spans="1:12" x14ac:dyDescent="0.35">
      <c r="B36" s="25">
        <v>6</v>
      </c>
      <c r="C36" s="14" t="s">
        <v>60</v>
      </c>
      <c r="D36" s="14" t="s">
        <v>209</v>
      </c>
      <c r="L36" s="64"/>
    </row>
    <row r="37" spans="1:12" x14ac:dyDescent="0.35">
      <c r="L37" s="64"/>
    </row>
    <row r="38" spans="1:12" x14ac:dyDescent="0.35">
      <c r="B38" s="59" t="s">
        <v>60</v>
      </c>
      <c r="C38" s="60"/>
      <c r="D38" s="61"/>
      <c r="L38" s="64"/>
    </row>
    <row r="39" spans="1:12" x14ac:dyDescent="0.35">
      <c r="B39" s="24" t="s">
        <v>161</v>
      </c>
      <c r="C39" s="17" t="s">
        <v>199</v>
      </c>
      <c r="D39" s="17" t="s">
        <v>163</v>
      </c>
      <c r="L39" s="64"/>
    </row>
    <row r="40" spans="1:12" x14ac:dyDescent="0.35">
      <c r="B40" s="25">
        <v>1</v>
      </c>
      <c r="C40" s="14" t="s">
        <v>210</v>
      </c>
      <c r="D40" s="14" t="s">
        <v>211</v>
      </c>
      <c r="L40" s="64"/>
    </row>
    <row r="41" spans="1:12" x14ac:dyDescent="0.35">
      <c r="B41" s="25">
        <v>2</v>
      </c>
      <c r="C41" s="14" t="s">
        <v>212</v>
      </c>
      <c r="D41" s="14" t="s">
        <v>213</v>
      </c>
      <c r="L41" s="64"/>
    </row>
    <row r="42" spans="1:12" x14ac:dyDescent="0.35">
      <c r="L42" s="64"/>
    </row>
    <row r="43" spans="1:12" x14ac:dyDescent="0.35">
      <c r="B43" s="24" t="s">
        <v>161</v>
      </c>
      <c r="C43" s="17" t="s">
        <v>199</v>
      </c>
      <c r="D43" s="17" t="s">
        <v>163</v>
      </c>
      <c r="L43" s="64"/>
    </row>
    <row r="44" spans="1:12" x14ac:dyDescent="0.35">
      <c r="B44" s="25">
        <v>1</v>
      </c>
      <c r="C44" s="14" t="s">
        <v>214</v>
      </c>
      <c r="D44" s="14" t="s">
        <v>98</v>
      </c>
      <c r="L44" s="64"/>
    </row>
    <row r="45" spans="1:12" x14ac:dyDescent="0.35">
      <c r="B45" s="25">
        <v>2</v>
      </c>
      <c r="C45" s="14" t="s">
        <v>215</v>
      </c>
      <c r="D45" s="14"/>
      <c r="L45" s="64"/>
    </row>
    <row r="46" spans="1:12" x14ac:dyDescent="0.35">
      <c r="L46" s="64"/>
    </row>
    <row r="47" spans="1:12" ht="16" x14ac:dyDescent="0.4">
      <c r="A47" s="18">
        <v>3</v>
      </c>
      <c r="B47" s="58" t="s">
        <v>216</v>
      </c>
      <c r="C47" s="58"/>
      <c r="D47" s="58"/>
      <c r="L47" s="64"/>
    </row>
    <row r="48" spans="1:12" x14ac:dyDescent="0.35">
      <c r="L48" s="64"/>
    </row>
    <row r="49" spans="1:12" x14ac:dyDescent="0.35">
      <c r="B49" s="57" t="s">
        <v>16</v>
      </c>
      <c r="C49" s="57"/>
      <c r="D49" s="57"/>
      <c r="L49" s="64"/>
    </row>
    <row r="50" spans="1:12" x14ac:dyDescent="0.35">
      <c r="B50" s="24" t="s">
        <v>161</v>
      </c>
      <c r="C50" s="17" t="s">
        <v>33</v>
      </c>
      <c r="D50" s="17" t="s">
        <v>217</v>
      </c>
      <c r="L50" s="64"/>
    </row>
    <row r="51" spans="1:12" x14ac:dyDescent="0.35">
      <c r="B51" s="25">
        <v>1</v>
      </c>
      <c r="C51" s="14" t="s">
        <v>218</v>
      </c>
      <c r="D51" s="14" t="s">
        <v>23</v>
      </c>
      <c r="L51" s="64"/>
    </row>
    <row r="52" spans="1:12" x14ac:dyDescent="0.35">
      <c r="B52" s="25">
        <v>2</v>
      </c>
      <c r="C52" s="14" t="s">
        <v>219</v>
      </c>
      <c r="D52" s="14" t="s">
        <v>220</v>
      </c>
      <c r="L52" s="64"/>
    </row>
    <row r="53" spans="1:12" x14ac:dyDescent="0.35">
      <c r="B53"/>
      <c r="L53" s="64"/>
    </row>
    <row r="54" spans="1:12" x14ac:dyDescent="0.35">
      <c r="B54"/>
      <c r="L54" s="64"/>
    </row>
    <row r="55" spans="1:12" x14ac:dyDescent="0.35">
      <c r="B55" s="70" t="s">
        <v>17</v>
      </c>
      <c r="C55" s="71"/>
      <c r="D55" s="71"/>
      <c r="L55" s="64"/>
    </row>
    <row r="56" spans="1:12" x14ac:dyDescent="0.35">
      <c r="B56" s="24" t="s">
        <v>161</v>
      </c>
      <c r="C56" s="17" t="s">
        <v>33</v>
      </c>
      <c r="D56" s="17" t="s">
        <v>217</v>
      </c>
      <c r="L56" s="64"/>
    </row>
    <row r="57" spans="1:12" x14ac:dyDescent="0.35">
      <c r="B57" s="25">
        <v>1</v>
      </c>
      <c r="C57" s="14" t="s">
        <v>221</v>
      </c>
      <c r="D57" s="14" t="s">
        <v>222</v>
      </c>
      <c r="L57" s="64"/>
    </row>
    <row r="58" spans="1:12" x14ac:dyDescent="0.35">
      <c r="B58" s="25">
        <v>2</v>
      </c>
      <c r="C58" s="14" t="s">
        <v>61</v>
      </c>
      <c r="D58" s="14" t="s">
        <v>223</v>
      </c>
      <c r="L58" s="64"/>
    </row>
    <row r="59" spans="1:12" x14ac:dyDescent="0.35">
      <c r="B59" s="25">
        <v>3</v>
      </c>
      <c r="C59" s="14" t="s">
        <v>224</v>
      </c>
      <c r="D59" s="14" t="s">
        <v>225</v>
      </c>
      <c r="L59" s="64"/>
    </row>
    <row r="60" spans="1:12" x14ac:dyDescent="0.35">
      <c r="B60" s="25">
        <v>4</v>
      </c>
      <c r="C60" s="14" t="s">
        <v>226</v>
      </c>
      <c r="D60" s="14" t="s">
        <v>24</v>
      </c>
      <c r="L60" s="64"/>
    </row>
    <row r="61" spans="1:12" x14ac:dyDescent="0.35">
      <c r="L61" s="64"/>
    </row>
    <row r="62" spans="1:12" ht="16" x14ac:dyDescent="0.4">
      <c r="A62" s="18">
        <v>4</v>
      </c>
      <c r="B62" s="72" t="s">
        <v>227</v>
      </c>
      <c r="C62" s="73"/>
      <c r="D62" s="73"/>
      <c r="E62" s="73"/>
      <c r="F62" s="73"/>
      <c r="G62" s="73"/>
      <c r="H62" s="73"/>
      <c r="I62" s="73"/>
      <c r="J62" s="73"/>
      <c r="K62" s="73"/>
      <c r="L62" s="64"/>
    </row>
    <row r="63" spans="1:12" x14ac:dyDescent="0.35">
      <c r="L63" s="64"/>
    </row>
    <row r="64" spans="1:12" x14ac:dyDescent="0.35">
      <c r="B64" s="59" t="s">
        <v>67</v>
      </c>
      <c r="C64" s="60"/>
      <c r="D64" s="61"/>
      <c r="F64" s="66" t="s">
        <v>228</v>
      </c>
      <c r="G64" s="67"/>
      <c r="H64" s="68"/>
      <c r="I64" s="59" t="s">
        <v>130</v>
      </c>
      <c r="J64" s="60"/>
      <c r="K64" s="60"/>
      <c r="L64" s="64"/>
    </row>
    <row r="65" spans="2:12" x14ac:dyDescent="0.35">
      <c r="B65" s="24" t="s">
        <v>161</v>
      </c>
      <c r="C65" s="17" t="s">
        <v>67</v>
      </c>
      <c r="D65" s="17" t="s">
        <v>163</v>
      </c>
      <c r="F65" s="16" t="s">
        <v>161</v>
      </c>
      <c r="G65" s="16" t="s">
        <v>127</v>
      </c>
      <c r="H65" s="16" t="s">
        <v>163</v>
      </c>
      <c r="I65" s="16" t="s">
        <v>161</v>
      </c>
      <c r="J65" s="17" t="s">
        <v>33</v>
      </c>
      <c r="K65" s="28" t="s">
        <v>163</v>
      </c>
      <c r="L65" s="64"/>
    </row>
    <row r="66" spans="2:12" x14ac:dyDescent="0.35">
      <c r="B66" s="25">
        <v>1</v>
      </c>
      <c r="C66" s="14" t="s">
        <v>229</v>
      </c>
      <c r="D66" s="14" t="s">
        <v>70</v>
      </c>
      <c r="F66" s="18">
        <v>1</v>
      </c>
      <c r="G66" s="18" t="s">
        <v>230</v>
      </c>
      <c r="H66" s="18" t="s">
        <v>129</v>
      </c>
      <c r="I66" s="18">
        <v>1</v>
      </c>
      <c r="J66" s="14" t="s">
        <v>231</v>
      </c>
      <c r="K66" s="29" t="s">
        <v>135</v>
      </c>
      <c r="L66" s="64"/>
    </row>
    <row r="67" spans="2:12" x14ac:dyDescent="0.35">
      <c r="B67" s="57" t="s">
        <v>66</v>
      </c>
      <c r="C67" s="57"/>
      <c r="D67" s="57"/>
      <c r="I67" s="18">
        <v>2</v>
      </c>
      <c r="J67" s="14" t="s">
        <v>232</v>
      </c>
      <c r="K67" s="29" t="s">
        <v>233</v>
      </c>
      <c r="L67" s="64"/>
    </row>
    <row r="68" spans="2:12" x14ac:dyDescent="0.35">
      <c r="B68" s="24" t="s">
        <v>161</v>
      </c>
      <c r="C68" s="17" t="s">
        <v>78</v>
      </c>
      <c r="D68" s="17" t="s">
        <v>163</v>
      </c>
      <c r="I68" s="18">
        <v>3</v>
      </c>
      <c r="J68" s="14" t="s">
        <v>234</v>
      </c>
      <c r="K68" s="29" t="s">
        <v>235</v>
      </c>
      <c r="L68" s="64"/>
    </row>
    <row r="69" spans="2:12" x14ac:dyDescent="0.35">
      <c r="B69" s="25">
        <v>1</v>
      </c>
      <c r="C69" s="14" t="s">
        <v>236</v>
      </c>
      <c r="D69" s="14" t="s">
        <v>69</v>
      </c>
      <c r="I69" s="18">
        <v>4</v>
      </c>
      <c r="J69" s="14" t="s">
        <v>237</v>
      </c>
      <c r="K69" s="29" t="s">
        <v>238</v>
      </c>
      <c r="L69" s="64"/>
    </row>
    <row r="70" spans="2:12" x14ac:dyDescent="0.35">
      <c r="B70" s="25">
        <v>2</v>
      </c>
      <c r="C70" s="14" t="s">
        <v>239</v>
      </c>
      <c r="D70" s="14" t="s">
        <v>72</v>
      </c>
      <c r="I70" s="18">
        <v>5</v>
      </c>
      <c r="J70" s="14" t="s">
        <v>240</v>
      </c>
      <c r="K70" s="29" t="s">
        <v>241</v>
      </c>
      <c r="L70" s="64"/>
    </row>
    <row r="71" spans="2:12" x14ac:dyDescent="0.35">
      <c r="I71" s="18">
        <v>6</v>
      </c>
      <c r="J71" s="14" t="s">
        <v>242</v>
      </c>
      <c r="K71" s="29" t="s">
        <v>243</v>
      </c>
      <c r="L71" s="64"/>
    </row>
    <row r="72" spans="2:12" x14ac:dyDescent="0.35">
      <c r="B72" s="59" t="s">
        <v>34</v>
      </c>
      <c r="C72" s="60"/>
      <c r="D72" s="61"/>
      <c r="L72" s="64"/>
    </row>
    <row r="73" spans="2:12" x14ac:dyDescent="0.35">
      <c r="B73" s="24" t="s">
        <v>161</v>
      </c>
      <c r="C73" s="17" t="s">
        <v>34</v>
      </c>
      <c r="D73" s="17" t="s">
        <v>163</v>
      </c>
      <c r="L73" s="64"/>
    </row>
    <row r="74" spans="2:12" x14ac:dyDescent="0.35">
      <c r="B74" s="25">
        <v>1</v>
      </c>
      <c r="C74" s="14" t="s">
        <v>244</v>
      </c>
      <c r="D74" s="14" t="s">
        <v>96</v>
      </c>
      <c r="L74" s="64"/>
    </row>
    <row r="75" spans="2:12" ht="38.15" customHeight="1" x14ac:dyDescent="0.35">
      <c r="B75" s="69" t="s">
        <v>245</v>
      </c>
      <c r="C75" s="69"/>
      <c r="D75" s="69"/>
      <c r="L75" s="64"/>
    </row>
    <row r="76" spans="2:12" x14ac:dyDescent="0.35">
      <c r="B76" s="30"/>
      <c r="C76" s="30"/>
      <c r="D76" s="30"/>
      <c r="L76" s="64"/>
    </row>
    <row r="77" spans="2:12" x14ac:dyDescent="0.35">
      <c r="B77" s="57" t="s">
        <v>246</v>
      </c>
      <c r="C77" s="57"/>
      <c r="D77" s="57"/>
      <c r="L77" s="64"/>
    </row>
    <row r="78" spans="2:12" x14ac:dyDescent="0.35">
      <c r="B78" s="16" t="s">
        <v>161</v>
      </c>
      <c r="C78" s="17" t="s">
        <v>199</v>
      </c>
      <c r="D78" s="17" t="s">
        <v>163</v>
      </c>
      <c r="L78" s="64"/>
    </row>
    <row r="79" spans="2:12" x14ac:dyDescent="0.35">
      <c r="B79" s="18">
        <v>1</v>
      </c>
      <c r="C79" s="14" t="s">
        <v>247</v>
      </c>
      <c r="D79" s="14" t="s">
        <v>248</v>
      </c>
      <c r="L79" s="64"/>
    </row>
    <row r="80" spans="2:12" x14ac:dyDescent="0.35">
      <c r="B80" s="18">
        <v>2</v>
      </c>
      <c r="C80" s="14" t="s">
        <v>40</v>
      </c>
      <c r="D80" s="14" t="s">
        <v>97</v>
      </c>
      <c r="L80" s="64"/>
    </row>
    <row r="81" spans="2:12" x14ac:dyDescent="0.35">
      <c r="B81" s="18">
        <v>3</v>
      </c>
      <c r="C81" s="14" t="s">
        <v>41</v>
      </c>
      <c r="D81" s="14" t="s">
        <v>249</v>
      </c>
      <c r="L81" s="64"/>
    </row>
    <row r="82" spans="2:12" x14ac:dyDescent="0.35">
      <c r="B82" s="18">
        <v>4</v>
      </c>
      <c r="C82" s="14" t="s">
        <v>42</v>
      </c>
      <c r="D82" s="14" t="s">
        <v>250</v>
      </c>
      <c r="L82" s="64"/>
    </row>
    <row r="83" spans="2:12" x14ac:dyDescent="0.35">
      <c r="B83" s="18">
        <v>5</v>
      </c>
      <c r="C83" s="14" t="s">
        <v>251</v>
      </c>
      <c r="D83" s="14" t="s">
        <v>252</v>
      </c>
      <c r="L83" s="64"/>
    </row>
    <row r="84" spans="2:12" x14ac:dyDescent="0.35">
      <c r="B84" s="18">
        <v>6</v>
      </c>
      <c r="C84" s="14" t="s">
        <v>44</v>
      </c>
      <c r="D84" s="14" t="s">
        <v>253</v>
      </c>
      <c r="L84" s="64"/>
    </row>
    <row r="85" spans="2:12" x14ac:dyDescent="0.35">
      <c r="B85" s="18">
        <v>7</v>
      </c>
      <c r="C85" s="14" t="s">
        <v>45</v>
      </c>
      <c r="D85" s="14" t="s">
        <v>254</v>
      </c>
      <c r="L85" s="64"/>
    </row>
    <row r="86" spans="2:12" x14ac:dyDescent="0.35">
      <c r="B86" s="18">
        <v>8</v>
      </c>
      <c r="C86" s="14" t="s">
        <v>46</v>
      </c>
      <c r="D86" s="14" t="s">
        <v>255</v>
      </c>
      <c r="L86" s="64"/>
    </row>
    <row r="87" spans="2:12" x14ac:dyDescent="0.35">
      <c r="B87" s="18">
        <v>9</v>
      </c>
      <c r="C87" s="14" t="s">
        <v>47</v>
      </c>
      <c r="D87" s="14" t="s">
        <v>256</v>
      </c>
      <c r="L87" s="64"/>
    </row>
    <row r="88" spans="2:12" x14ac:dyDescent="0.35">
      <c r="B88" s="18">
        <v>10</v>
      </c>
      <c r="C88" s="14" t="s">
        <v>48</v>
      </c>
      <c r="D88" s="14" t="s">
        <v>257</v>
      </c>
      <c r="L88" s="64"/>
    </row>
    <row r="89" spans="2:12" x14ac:dyDescent="0.35">
      <c r="B89" s="18">
        <v>11</v>
      </c>
      <c r="C89" s="14" t="s">
        <v>49</v>
      </c>
      <c r="D89" s="14" t="s">
        <v>258</v>
      </c>
      <c r="L89" s="64"/>
    </row>
    <row r="90" spans="2:12" x14ac:dyDescent="0.35">
      <c r="B90" s="18">
        <v>12</v>
      </c>
      <c r="C90" s="14" t="s">
        <v>50</v>
      </c>
      <c r="D90" s="14" t="s">
        <v>259</v>
      </c>
      <c r="L90" s="64"/>
    </row>
    <row r="91" spans="2:12" x14ac:dyDescent="0.35">
      <c r="B91" s="18">
        <v>13</v>
      </c>
      <c r="C91" s="14" t="s">
        <v>51</v>
      </c>
      <c r="D91" s="14" t="s">
        <v>260</v>
      </c>
      <c r="L91" s="64"/>
    </row>
    <row r="92" spans="2:12" x14ac:dyDescent="0.35">
      <c r="B92" s="18">
        <v>14</v>
      </c>
      <c r="C92" s="14" t="s">
        <v>52</v>
      </c>
      <c r="D92" s="14" t="s">
        <v>261</v>
      </c>
      <c r="L92" s="64"/>
    </row>
    <row r="93" spans="2:12" x14ac:dyDescent="0.35">
      <c r="B93" s="18">
        <v>15</v>
      </c>
      <c r="C93" s="14" t="s">
        <v>53</v>
      </c>
      <c r="D93" s="14" t="s">
        <v>262</v>
      </c>
      <c r="L93" s="64"/>
    </row>
    <row r="94" spans="2:12" x14ac:dyDescent="0.35">
      <c r="B94" s="18">
        <v>16</v>
      </c>
      <c r="C94" s="14" t="s">
        <v>54</v>
      </c>
      <c r="D94" s="14" t="s">
        <v>263</v>
      </c>
      <c r="L94" s="64"/>
    </row>
    <row r="95" spans="2:12" x14ac:dyDescent="0.35">
      <c r="B95" s="18">
        <v>17</v>
      </c>
      <c r="C95" s="14" t="s">
        <v>61</v>
      </c>
      <c r="D95" s="14" t="s">
        <v>264</v>
      </c>
      <c r="L95" s="64"/>
    </row>
    <row r="96" spans="2:12" x14ac:dyDescent="0.35">
      <c r="B96" s="15"/>
      <c r="L96" s="64"/>
    </row>
    <row r="97" spans="1:12" ht="16" x14ac:dyDescent="0.4">
      <c r="A97" s="18">
        <v>5</v>
      </c>
      <c r="B97" s="58" t="s">
        <v>265</v>
      </c>
      <c r="C97" s="58"/>
      <c r="D97" s="58"/>
      <c r="E97" s="58"/>
      <c r="F97" s="58"/>
      <c r="G97" s="58"/>
      <c r="H97" s="58"/>
      <c r="L97" s="64"/>
    </row>
    <row r="98" spans="1:12" x14ac:dyDescent="0.35">
      <c r="L98" s="64"/>
    </row>
    <row r="99" spans="1:12" x14ac:dyDescent="0.35">
      <c r="B99" s="59" t="s">
        <v>266</v>
      </c>
      <c r="C99" s="60"/>
      <c r="D99" s="61"/>
      <c r="L99" s="64"/>
    </row>
    <row r="100" spans="1:12" x14ac:dyDescent="0.35">
      <c r="B100" s="24" t="s">
        <v>161</v>
      </c>
      <c r="C100" s="17" t="s">
        <v>67</v>
      </c>
      <c r="D100" s="17" t="s">
        <v>163</v>
      </c>
      <c r="L100" s="64"/>
    </row>
    <row r="101" spans="1:12" x14ac:dyDescent="0.35">
      <c r="B101" s="25">
        <v>1</v>
      </c>
      <c r="C101" s="14" t="s">
        <v>267</v>
      </c>
      <c r="D101" s="14" t="s">
        <v>268</v>
      </c>
      <c r="L101" s="64"/>
    </row>
    <row r="102" spans="1:12" x14ac:dyDescent="0.35">
      <c r="B102" s="25">
        <v>2</v>
      </c>
      <c r="C102" s="14" t="s">
        <v>269</v>
      </c>
      <c r="D102" s="14" t="s">
        <v>270</v>
      </c>
      <c r="L102" s="64"/>
    </row>
    <row r="103" spans="1:12" x14ac:dyDescent="0.35">
      <c r="L103" s="64"/>
    </row>
    <row r="104" spans="1:12" x14ac:dyDescent="0.35">
      <c r="B104" s="57" t="s">
        <v>271</v>
      </c>
      <c r="C104" s="57"/>
      <c r="D104" s="57"/>
      <c r="L104" s="64"/>
    </row>
    <row r="105" spans="1:12" x14ac:dyDescent="0.35">
      <c r="B105" s="24" t="s">
        <v>161</v>
      </c>
      <c r="C105" s="17" t="s">
        <v>33</v>
      </c>
      <c r="D105" s="17" t="s">
        <v>163</v>
      </c>
      <c r="L105" s="64"/>
    </row>
    <row r="106" spans="1:12" x14ac:dyDescent="0.35">
      <c r="B106" s="25">
        <v>1</v>
      </c>
      <c r="C106" s="14" t="s">
        <v>272</v>
      </c>
      <c r="D106" s="14" t="s">
        <v>92</v>
      </c>
      <c r="L106" s="64"/>
    </row>
    <row r="107" spans="1:12" x14ac:dyDescent="0.35">
      <c r="B107" s="25">
        <v>2</v>
      </c>
      <c r="C107" s="14" t="s">
        <v>230</v>
      </c>
      <c r="D107" s="14" t="s">
        <v>129</v>
      </c>
      <c r="L107" s="64"/>
    </row>
    <row r="108" spans="1:12" x14ac:dyDescent="0.35">
      <c r="B108" s="25">
        <v>3</v>
      </c>
      <c r="C108" s="14" t="s">
        <v>273</v>
      </c>
      <c r="D108" s="14" t="s">
        <v>274</v>
      </c>
      <c r="L108" s="64"/>
    </row>
    <row r="109" spans="1:12" x14ac:dyDescent="0.35">
      <c r="B109" s="25">
        <v>4</v>
      </c>
      <c r="C109" s="14" t="s">
        <v>275</v>
      </c>
      <c r="D109" s="14" t="s">
        <v>276</v>
      </c>
      <c r="L109" s="64"/>
    </row>
    <row r="110" spans="1:12" x14ac:dyDescent="0.35">
      <c r="B110"/>
      <c r="L110" s="64"/>
    </row>
    <row r="111" spans="1:12" x14ac:dyDescent="0.35">
      <c r="B111" s="62" t="s">
        <v>277</v>
      </c>
      <c r="C111" s="62"/>
      <c r="D111" s="62"/>
      <c r="E111" s="62"/>
      <c r="F111" s="62"/>
      <c r="G111" s="62"/>
      <c r="H111" s="62"/>
      <c r="L111" s="64"/>
    </row>
    <row r="112" spans="1:12" x14ac:dyDescent="0.35">
      <c r="B112" s="57" t="s">
        <v>278</v>
      </c>
      <c r="C112" s="57"/>
      <c r="D112" s="57"/>
      <c r="E112" s="63"/>
      <c r="F112" s="57" t="s">
        <v>80</v>
      </c>
      <c r="G112" s="57"/>
      <c r="H112" s="57"/>
      <c r="L112" s="64"/>
    </row>
    <row r="113" spans="2:12" x14ac:dyDescent="0.35">
      <c r="B113" s="24" t="s">
        <v>161</v>
      </c>
      <c r="C113" s="17" t="s">
        <v>78</v>
      </c>
      <c r="D113" s="17" t="s">
        <v>163</v>
      </c>
      <c r="E113" s="64"/>
      <c r="F113" s="24" t="s">
        <v>161</v>
      </c>
      <c r="G113" s="17" t="s">
        <v>80</v>
      </c>
      <c r="H113" s="17" t="s">
        <v>163</v>
      </c>
      <c r="L113" s="64"/>
    </row>
    <row r="114" spans="2:12" x14ac:dyDescent="0.35">
      <c r="B114" s="23">
        <v>1</v>
      </c>
      <c r="C114" s="31" t="s">
        <v>181</v>
      </c>
      <c r="D114" s="31" t="s">
        <v>279</v>
      </c>
      <c r="E114" s="64"/>
      <c r="F114" s="23">
        <v>1</v>
      </c>
      <c r="G114" s="31" t="s">
        <v>280</v>
      </c>
      <c r="H114" s="31" t="s">
        <v>83</v>
      </c>
      <c r="L114" s="64"/>
    </row>
    <row r="115" spans="2:12" x14ac:dyDescent="0.35">
      <c r="B115" s="25">
        <v>2</v>
      </c>
      <c r="C115" s="14" t="s">
        <v>167</v>
      </c>
      <c r="D115" s="14" t="s">
        <v>281</v>
      </c>
      <c r="E115" s="65"/>
      <c r="F115" s="25">
        <v>2</v>
      </c>
      <c r="G115" s="14" t="s">
        <v>181</v>
      </c>
      <c r="H115" s="14" t="s">
        <v>91</v>
      </c>
      <c r="L115" s="65"/>
    </row>
  </sheetData>
  <mergeCells count="30">
    <mergeCell ref="A1:K1"/>
    <mergeCell ref="L1:L115"/>
    <mergeCell ref="B3:I3"/>
    <mergeCell ref="B5:E5"/>
    <mergeCell ref="G5:I5"/>
    <mergeCell ref="G13:I13"/>
    <mergeCell ref="G17:I17"/>
    <mergeCell ref="B27:H27"/>
    <mergeCell ref="B29:D29"/>
    <mergeCell ref="F29:H29"/>
    <mergeCell ref="I64:K64"/>
    <mergeCell ref="B67:D67"/>
    <mergeCell ref="B72:D72"/>
    <mergeCell ref="B75:D75"/>
    <mergeCell ref="F33:H33"/>
    <mergeCell ref="B38:D38"/>
    <mergeCell ref="B47:D47"/>
    <mergeCell ref="B49:D49"/>
    <mergeCell ref="B55:D55"/>
    <mergeCell ref="B62:K62"/>
    <mergeCell ref="B112:D112"/>
    <mergeCell ref="E112:E115"/>
    <mergeCell ref="F112:H112"/>
    <mergeCell ref="B64:D64"/>
    <mergeCell ref="F64:H64"/>
    <mergeCell ref="B77:D77"/>
    <mergeCell ref="B97:H97"/>
    <mergeCell ref="B99:D99"/>
    <mergeCell ref="B104:D104"/>
    <mergeCell ref="B111:H1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8912-3E63-4146-9BC7-C21588EA9536}">
  <dimension ref="A1:AE42"/>
  <sheetViews>
    <sheetView topLeftCell="A3" workbookViewId="0">
      <selection activeCell="B14" sqref="A14:XFD17"/>
    </sheetView>
  </sheetViews>
  <sheetFormatPr defaultRowHeight="14.5" x14ac:dyDescent="0.35"/>
  <cols>
    <col min="1" max="1" width="16.81640625" bestFit="1" customWidth="1"/>
    <col min="2" max="2" width="23.1796875" bestFit="1" customWidth="1"/>
    <col min="3" max="3" width="12.453125" bestFit="1" customWidth="1"/>
    <col min="4" max="4" width="27" bestFit="1" customWidth="1"/>
    <col min="5" max="5" width="27.81640625" bestFit="1" customWidth="1"/>
    <col min="6" max="6" width="27.7265625" bestFit="1" customWidth="1"/>
    <col min="7" max="7" width="22.453125" bestFit="1" customWidth="1"/>
    <col min="8" max="8" width="15.7265625" bestFit="1" customWidth="1"/>
    <col min="9" max="9" width="17.81640625" bestFit="1" customWidth="1"/>
    <col min="10" max="10" width="19.81640625" bestFit="1" customWidth="1"/>
    <col min="11" max="11" width="14.81640625" bestFit="1" customWidth="1"/>
    <col min="12" max="12" width="14.54296875" bestFit="1" customWidth="1"/>
    <col min="13" max="13" width="17.81640625" bestFit="1" customWidth="1"/>
    <col min="14" max="14" width="13.26953125" bestFit="1" customWidth="1"/>
    <col min="15" max="20" width="9" bestFit="1" customWidth="1"/>
    <col min="21" max="21" width="10" bestFit="1" customWidth="1"/>
    <col min="22" max="22" width="15.453125" bestFit="1" customWidth="1"/>
    <col min="23" max="23" width="7" bestFit="1" customWidth="1"/>
    <col min="24" max="24" width="5.26953125" bestFit="1" customWidth="1"/>
    <col min="25" max="25" width="18.453125" bestFit="1" customWidth="1"/>
    <col min="26" max="26" width="5.54296875" bestFit="1" customWidth="1"/>
    <col min="27" max="27" width="18.453125" bestFit="1" customWidth="1"/>
    <col min="28" max="28" width="11" bestFit="1" customWidth="1"/>
    <col min="29" max="29" width="6.81640625" bestFit="1" customWidth="1"/>
    <col min="30" max="30" width="11.1796875" bestFit="1" customWidth="1"/>
    <col min="31" max="31" width="21.453125" bestFit="1" customWidth="1"/>
  </cols>
  <sheetData>
    <row r="1" spans="1:31" ht="15" thickBot="1" x14ac:dyDescent="0.4">
      <c r="A1" s="3" t="s">
        <v>102</v>
      </c>
      <c r="B1" s="3" t="s">
        <v>103</v>
      </c>
      <c r="C1" s="7" t="s">
        <v>121</v>
      </c>
    </row>
    <row r="2" spans="1:31" x14ac:dyDescent="0.35">
      <c r="A2" s="47" t="s">
        <v>104</v>
      </c>
      <c r="B2" s="4" t="s">
        <v>105</v>
      </c>
      <c r="D2" t="s">
        <v>0</v>
      </c>
    </row>
    <row r="3" spans="1:31" ht="15" thickBot="1" x14ac:dyDescent="0.4">
      <c r="A3" s="48"/>
      <c r="B3" s="5" t="s">
        <v>106</v>
      </c>
      <c r="C3" s="1" t="s">
        <v>1</v>
      </c>
      <c r="D3" t="s">
        <v>123</v>
      </c>
    </row>
    <row r="4" spans="1:31" x14ac:dyDescent="0.35">
      <c r="A4" s="47" t="s">
        <v>107</v>
      </c>
      <c r="B4" s="4" t="s">
        <v>105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</row>
    <row r="5" spans="1:31" ht="15" thickBot="1" x14ac:dyDescent="0.4">
      <c r="A5" s="48"/>
      <c r="B5" s="5" t="s">
        <v>106</v>
      </c>
      <c r="C5" s="1" t="s">
        <v>8</v>
      </c>
      <c r="D5" t="s">
        <v>124</v>
      </c>
      <c r="E5" t="s">
        <v>124</v>
      </c>
      <c r="F5">
        <v>1000</v>
      </c>
      <c r="G5">
        <v>100033</v>
      </c>
      <c r="H5" s="13">
        <v>46204</v>
      </c>
      <c r="I5" s="13">
        <v>46295</v>
      </c>
    </row>
    <row r="6" spans="1:31" x14ac:dyDescent="0.35">
      <c r="A6" s="47" t="s">
        <v>108</v>
      </c>
      <c r="B6" s="4" t="s">
        <v>105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6</v>
      </c>
      <c r="N6" t="s">
        <v>7</v>
      </c>
    </row>
    <row r="7" spans="1:31" ht="15" thickBot="1" x14ac:dyDescent="0.4">
      <c r="A7" s="76"/>
      <c r="B7" s="8" t="s">
        <v>106</v>
      </c>
      <c r="C7" s="1" t="s">
        <v>18</v>
      </c>
      <c r="D7">
        <v>1</v>
      </c>
      <c r="E7" t="s">
        <v>125</v>
      </c>
      <c r="F7" t="s">
        <v>125</v>
      </c>
      <c r="G7" t="s">
        <v>126</v>
      </c>
      <c r="H7" s="14" t="s">
        <v>144</v>
      </c>
      <c r="I7" t="s">
        <v>21</v>
      </c>
      <c r="J7" s="14" t="s">
        <v>145</v>
      </c>
      <c r="K7" t="s">
        <v>23</v>
      </c>
      <c r="L7" t="s">
        <v>24</v>
      </c>
      <c r="M7" s="13">
        <v>46204</v>
      </c>
      <c r="N7" s="13">
        <v>46295</v>
      </c>
    </row>
    <row r="8" spans="1:31" x14ac:dyDescent="0.35">
      <c r="A8" s="47" t="s">
        <v>109</v>
      </c>
      <c r="B8" s="4" t="s">
        <v>105</v>
      </c>
      <c r="D8" t="s">
        <v>26</v>
      </c>
      <c r="E8" t="s">
        <v>27</v>
      </c>
      <c r="F8" s="9" t="s">
        <v>28</v>
      </c>
      <c r="G8" t="s">
        <v>29</v>
      </c>
      <c r="H8" t="s">
        <v>30</v>
      </c>
    </row>
    <row r="9" spans="1:31" ht="15" thickBot="1" x14ac:dyDescent="0.4">
      <c r="A9" s="48"/>
      <c r="B9" s="5" t="s">
        <v>106</v>
      </c>
      <c r="C9" s="1" t="s">
        <v>31</v>
      </c>
      <c r="D9" t="s">
        <v>32</v>
      </c>
      <c r="E9">
        <v>1016022</v>
      </c>
      <c r="G9" s="13">
        <v>46204</v>
      </c>
      <c r="H9" s="13">
        <v>46295</v>
      </c>
    </row>
    <row r="10" spans="1:31" x14ac:dyDescent="0.35">
      <c r="A10" s="50" t="s">
        <v>122</v>
      </c>
      <c r="B10" s="4" t="s">
        <v>110</v>
      </c>
      <c r="D10" t="s">
        <v>33</v>
      </c>
      <c r="E10" t="s">
        <v>34</v>
      </c>
      <c r="F10" t="s">
        <v>28</v>
      </c>
      <c r="G10" t="s">
        <v>35</v>
      </c>
    </row>
    <row r="11" spans="1:31" x14ac:dyDescent="0.35">
      <c r="A11" s="51"/>
      <c r="B11" s="6" t="s">
        <v>106</v>
      </c>
      <c r="C11" s="10" t="s">
        <v>36</v>
      </c>
    </row>
    <row r="12" spans="1:31" x14ac:dyDescent="0.35">
      <c r="A12" s="51"/>
      <c r="B12" s="6" t="s">
        <v>111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 t="s">
        <v>52</v>
      </c>
      <c r="T12" t="s">
        <v>53</v>
      </c>
      <c r="U12" t="s">
        <v>54</v>
      </c>
      <c r="V12" s="9" t="s">
        <v>55</v>
      </c>
      <c r="W12" s="9" t="s">
        <v>56</v>
      </c>
      <c r="X12" s="9" t="s">
        <v>57</v>
      </c>
      <c r="Y12" s="9" t="s">
        <v>58</v>
      </c>
      <c r="Z12" s="9" t="s">
        <v>59</v>
      </c>
      <c r="AA12" s="9" t="s">
        <v>60</v>
      </c>
      <c r="AB12" t="s">
        <v>61</v>
      </c>
      <c r="AC12" t="s">
        <v>62</v>
      </c>
      <c r="AD12" t="s">
        <v>63</v>
      </c>
      <c r="AE12" s="9" t="s">
        <v>35</v>
      </c>
    </row>
    <row r="13" spans="1:31" ht="15" thickBot="1" x14ac:dyDescent="0.4">
      <c r="A13" s="52"/>
      <c r="B13" s="5" t="s">
        <v>106</v>
      </c>
      <c r="C13" s="10" t="s">
        <v>64</v>
      </c>
    </row>
    <row r="14" spans="1:31" x14ac:dyDescent="0.35">
      <c r="A14" s="45" t="s">
        <v>142</v>
      </c>
      <c r="B14" s="4" t="s">
        <v>105</v>
      </c>
      <c r="D14" t="s">
        <v>26</v>
      </c>
      <c r="E14" t="s">
        <v>127</v>
      </c>
      <c r="F14" t="s">
        <v>29</v>
      </c>
      <c r="G14" t="s">
        <v>30</v>
      </c>
    </row>
    <row r="15" spans="1:31" ht="15" thickBot="1" x14ac:dyDescent="0.4">
      <c r="A15" s="46"/>
      <c r="B15" s="5" t="s">
        <v>106</v>
      </c>
      <c r="C15" s="1" t="s">
        <v>128</v>
      </c>
      <c r="D15" t="s">
        <v>125</v>
      </c>
      <c r="E15" t="s">
        <v>129</v>
      </c>
      <c r="F15" s="2">
        <v>45295</v>
      </c>
      <c r="G15" t="s">
        <v>25</v>
      </c>
    </row>
    <row r="16" spans="1:31" x14ac:dyDescent="0.35">
      <c r="A16" s="45" t="s">
        <v>143</v>
      </c>
      <c r="B16" s="4" t="s">
        <v>105</v>
      </c>
      <c r="D16" t="s">
        <v>26</v>
      </c>
      <c r="E16" t="s">
        <v>127</v>
      </c>
      <c r="F16" t="s">
        <v>67</v>
      </c>
      <c r="G16" t="s">
        <v>130</v>
      </c>
      <c r="H16" t="s">
        <v>131</v>
      </c>
      <c r="I16" t="s">
        <v>132</v>
      </c>
      <c r="J16" t="s">
        <v>133</v>
      </c>
      <c r="K16" t="s">
        <v>29</v>
      </c>
      <c r="L16" t="s">
        <v>30</v>
      </c>
    </row>
    <row r="17" spans="1:31" ht="15" thickBot="1" x14ac:dyDescent="0.4">
      <c r="A17" s="46"/>
      <c r="B17" s="5" t="s">
        <v>106</v>
      </c>
      <c r="C17" s="1" t="s">
        <v>134</v>
      </c>
      <c r="D17" t="s">
        <v>125</v>
      </c>
      <c r="E17" t="s">
        <v>129</v>
      </c>
      <c r="F17" t="s">
        <v>70</v>
      </c>
      <c r="G17" t="s">
        <v>135</v>
      </c>
      <c r="H17">
        <v>1</v>
      </c>
      <c r="I17" t="s">
        <v>136</v>
      </c>
      <c r="J17">
        <v>100</v>
      </c>
      <c r="K17" s="2">
        <v>45295</v>
      </c>
      <c r="L17" t="s">
        <v>25</v>
      </c>
    </row>
    <row r="18" spans="1:31" x14ac:dyDescent="0.35">
      <c r="A18" s="50" t="s">
        <v>112</v>
      </c>
      <c r="B18" s="4" t="s">
        <v>105</v>
      </c>
      <c r="D18" t="s">
        <v>26</v>
      </c>
      <c r="E18" t="s">
        <v>65</v>
      </c>
      <c r="F18" t="s">
        <v>66</v>
      </c>
      <c r="G18" t="s">
        <v>67</v>
      </c>
      <c r="H18" s="11" t="s">
        <v>28</v>
      </c>
      <c r="I18" t="s">
        <v>29</v>
      </c>
      <c r="J18" t="s">
        <v>30</v>
      </c>
    </row>
    <row r="19" spans="1:31" x14ac:dyDescent="0.35">
      <c r="A19" s="51"/>
      <c r="B19" s="6" t="s">
        <v>106</v>
      </c>
      <c r="C19" s="1" t="s">
        <v>68</v>
      </c>
      <c r="D19" t="s">
        <v>125</v>
      </c>
      <c r="E19" t="s">
        <v>137</v>
      </c>
      <c r="F19" t="s">
        <v>69</v>
      </c>
      <c r="G19" t="s">
        <v>70</v>
      </c>
      <c r="H19" t="s">
        <v>71</v>
      </c>
      <c r="I19" s="2">
        <v>45295</v>
      </c>
      <c r="J19" t="s">
        <v>25</v>
      </c>
    </row>
    <row r="20" spans="1:31" ht="15" thickBot="1" x14ac:dyDescent="0.4">
      <c r="A20" s="52"/>
      <c r="B20" s="5" t="s">
        <v>106</v>
      </c>
      <c r="C20" s="1" t="s">
        <v>68</v>
      </c>
      <c r="D20" t="s">
        <v>125</v>
      </c>
      <c r="E20" t="s">
        <v>138</v>
      </c>
      <c r="F20" t="s">
        <v>72</v>
      </c>
      <c r="G20" t="s">
        <v>70</v>
      </c>
      <c r="H20" t="s">
        <v>73</v>
      </c>
      <c r="I20" s="2">
        <v>45295</v>
      </c>
      <c r="J20" t="s">
        <v>25</v>
      </c>
    </row>
    <row r="21" spans="1:31" x14ac:dyDescent="0.35">
      <c r="A21" s="50" t="s">
        <v>113</v>
      </c>
      <c r="B21" s="4" t="s">
        <v>114</v>
      </c>
      <c r="D21" t="s">
        <v>26</v>
      </c>
      <c r="E21" t="s">
        <v>74</v>
      </c>
      <c r="F21" t="s">
        <v>75</v>
      </c>
      <c r="G21" t="s">
        <v>76</v>
      </c>
      <c r="H21" t="s">
        <v>78</v>
      </c>
      <c r="I21" t="s">
        <v>79</v>
      </c>
      <c r="J21" t="s">
        <v>80</v>
      </c>
      <c r="K21" t="s">
        <v>29</v>
      </c>
      <c r="L21" t="s">
        <v>30</v>
      </c>
      <c r="M21" t="s">
        <v>81</v>
      </c>
    </row>
    <row r="22" spans="1:31" x14ac:dyDescent="0.35">
      <c r="A22" s="51"/>
      <c r="B22" s="6" t="s">
        <v>106</v>
      </c>
      <c r="C22" s="1" t="s">
        <v>82</v>
      </c>
      <c r="D22" t="s">
        <v>125</v>
      </c>
      <c r="E22" t="s">
        <v>138</v>
      </c>
      <c r="F22" t="s">
        <v>137</v>
      </c>
      <c r="G22">
        <v>2</v>
      </c>
      <c r="K22" s="2">
        <v>45295</v>
      </c>
      <c r="L22" t="s">
        <v>25</v>
      </c>
    </row>
    <row r="23" spans="1:31" x14ac:dyDescent="0.35">
      <c r="A23" s="51"/>
      <c r="B23" s="6" t="s">
        <v>106</v>
      </c>
      <c r="C23" s="1" t="s">
        <v>82</v>
      </c>
      <c r="D23" t="s">
        <v>125</v>
      </c>
      <c r="E23" t="s">
        <v>138</v>
      </c>
      <c r="F23" t="s">
        <v>137</v>
      </c>
      <c r="K23" s="2">
        <v>45295</v>
      </c>
      <c r="L23" t="s">
        <v>25</v>
      </c>
      <c r="M23" t="s">
        <v>84</v>
      </c>
    </row>
    <row r="24" spans="1:31" x14ac:dyDescent="0.35">
      <c r="A24" s="51"/>
      <c r="B24" s="6" t="s">
        <v>115</v>
      </c>
      <c r="D24" t="s">
        <v>85</v>
      </c>
      <c r="E24" t="s">
        <v>86</v>
      </c>
      <c r="F24" t="s">
        <v>87</v>
      </c>
      <c r="G24" t="s">
        <v>88</v>
      </c>
    </row>
    <row r="25" spans="1:31" x14ac:dyDescent="0.35">
      <c r="A25" s="51"/>
      <c r="B25" s="6" t="s">
        <v>106</v>
      </c>
      <c r="C25" s="1" t="s">
        <v>89</v>
      </c>
      <c r="D25" t="s">
        <v>90</v>
      </c>
      <c r="E25" t="s">
        <v>69</v>
      </c>
      <c r="F25" t="s">
        <v>83</v>
      </c>
      <c r="G25" t="s">
        <v>129</v>
      </c>
    </row>
    <row r="26" spans="1:31" x14ac:dyDescent="0.35">
      <c r="A26" s="51"/>
      <c r="B26" s="6" t="s">
        <v>116</v>
      </c>
      <c r="D26" t="s">
        <v>93</v>
      </c>
      <c r="E26" t="s">
        <v>76</v>
      </c>
      <c r="F26" t="s">
        <v>94</v>
      </c>
    </row>
    <row r="27" spans="1:31" x14ac:dyDescent="0.35">
      <c r="A27" s="51"/>
      <c r="B27" s="6" t="s">
        <v>106</v>
      </c>
      <c r="C27" s="1" t="s">
        <v>95</v>
      </c>
      <c r="D27">
        <v>1000000</v>
      </c>
      <c r="E27">
        <v>1</v>
      </c>
    </row>
    <row r="28" spans="1:31" x14ac:dyDescent="0.35">
      <c r="A28" s="51"/>
      <c r="B28" s="6" t="s">
        <v>106</v>
      </c>
      <c r="C28" s="1" t="s">
        <v>95</v>
      </c>
      <c r="D28">
        <v>2000000</v>
      </c>
      <c r="E28">
        <v>2</v>
      </c>
    </row>
    <row r="29" spans="1:31" ht="15" thickBot="1" x14ac:dyDescent="0.4">
      <c r="A29" s="52"/>
      <c r="B29" s="5" t="s">
        <v>106</v>
      </c>
      <c r="C29" s="1" t="s">
        <v>95</v>
      </c>
      <c r="D29">
        <v>3000000</v>
      </c>
      <c r="E29">
        <v>3</v>
      </c>
    </row>
    <row r="30" spans="1:31" x14ac:dyDescent="0.35">
      <c r="A30" s="50" t="s">
        <v>118</v>
      </c>
      <c r="B30" s="4" t="s">
        <v>119</v>
      </c>
      <c r="D30" t="s">
        <v>33</v>
      </c>
      <c r="E30" t="s">
        <v>34</v>
      </c>
      <c r="F30" t="s">
        <v>28</v>
      </c>
      <c r="G30" t="s">
        <v>35</v>
      </c>
    </row>
    <row r="31" spans="1:31" x14ac:dyDescent="0.35">
      <c r="A31" s="51"/>
      <c r="B31" s="6" t="s">
        <v>106</v>
      </c>
      <c r="C31" s="12" t="s">
        <v>36</v>
      </c>
      <c r="D31" t="s">
        <v>139</v>
      </c>
      <c r="E31" t="s">
        <v>96</v>
      </c>
      <c r="G31" t="s">
        <v>71</v>
      </c>
    </row>
    <row r="32" spans="1:31" x14ac:dyDescent="0.35">
      <c r="A32" s="51"/>
      <c r="B32" s="6" t="s">
        <v>120</v>
      </c>
      <c r="D32" t="s">
        <v>37</v>
      </c>
      <c r="E32" t="s">
        <v>38</v>
      </c>
      <c r="F32" t="s">
        <v>39</v>
      </c>
      <c r="G32" s="12" t="s">
        <v>40</v>
      </c>
      <c r="H32" s="12" t="s">
        <v>41</v>
      </c>
      <c r="I32" s="12" t="s">
        <v>42</v>
      </c>
      <c r="J32" s="12" t="s">
        <v>43</v>
      </c>
      <c r="K32" s="12" t="s">
        <v>44</v>
      </c>
      <c r="L32" s="12" t="s">
        <v>45</v>
      </c>
      <c r="M32" s="12" t="s">
        <v>46</v>
      </c>
      <c r="N32" s="12" t="s">
        <v>47</v>
      </c>
      <c r="O32" s="12" t="s">
        <v>48</v>
      </c>
      <c r="P32" s="12" t="s">
        <v>49</v>
      </c>
      <c r="Q32" s="12" t="s">
        <v>50</v>
      </c>
      <c r="R32" s="12" t="s">
        <v>51</v>
      </c>
      <c r="S32" s="12" t="s">
        <v>52</v>
      </c>
      <c r="T32" s="12" t="s">
        <v>53</v>
      </c>
      <c r="U32" s="12" t="s">
        <v>54</v>
      </c>
      <c r="V32" t="s">
        <v>55</v>
      </c>
      <c r="W32" t="s">
        <v>56</v>
      </c>
      <c r="X32" t="s">
        <v>57</v>
      </c>
      <c r="Y32" t="s">
        <v>58</v>
      </c>
      <c r="Z32" t="s">
        <v>59</v>
      </c>
      <c r="AA32" t="s">
        <v>60</v>
      </c>
      <c r="AB32" t="s">
        <v>61</v>
      </c>
      <c r="AC32" t="s">
        <v>62</v>
      </c>
      <c r="AD32" t="s">
        <v>63</v>
      </c>
      <c r="AE32" s="11" t="s">
        <v>35</v>
      </c>
    </row>
    <row r="33" spans="1:31" x14ac:dyDescent="0.35">
      <c r="A33" s="51"/>
      <c r="B33" s="6" t="s">
        <v>106</v>
      </c>
      <c r="C33" s="12" t="s">
        <v>64</v>
      </c>
      <c r="D33" t="s">
        <v>97</v>
      </c>
      <c r="E33" t="s">
        <v>98</v>
      </c>
      <c r="G33" t="s">
        <v>100</v>
      </c>
      <c r="AD33">
        <v>1</v>
      </c>
      <c r="AE33" t="s">
        <v>71</v>
      </c>
    </row>
    <row r="34" spans="1:31" x14ac:dyDescent="0.35">
      <c r="A34" s="51"/>
      <c r="B34" s="6" t="s">
        <v>106</v>
      </c>
      <c r="C34" s="12" t="s">
        <v>64</v>
      </c>
      <c r="D34" t="s">
        <v>97</v>
      </c>
      <c r="E34" t="s">
        <v>98</v>
      </c>
      <c r="G34" t="s">
        <v>99</v>
      </c>
      <c r="AD34">
        <v>1</v>
      </c>
      <c r="AE34" t="s">
        <v>71</v>
      </c>
    </row>
    <row r="35" spans="1:31" x14ac:dyDescent="0.35">
      <c r="A35" s="51"/>
      <c r="B35" s="6" t="s">
        <v>119</v>
      </c>
      <c r="D35" t="s">
        <v>33</v>
      </c>
      <c r="E35" t="s">
        <v>34</v>
      </c>
      <c r="F35" t="s">
        <v>28</v>
      </c>
      <c r="G35" t="s">
        <v>35</v>
      </c>
    </row>
    <row r="36" spans="1:31" x14ac:dyDescent="0.35">
      <c r="A36" s="51"/>
      <c r="B36" s="6" t="s">
        <v>106</v>
      </c>
      <c r="C36" s="12" t="s">
        <v>36</v>
      </c>
      <c r="D36" t="s">
        <v>140</v>
      </c>
      <c r="E36" t="s">
        <v>96</v>
      </c>
      <c r="G36" t="s">
        <v>73</v>
      </c>
    </row>
    <row r="37" spans="1:31" x14ac:dyDescent="0.35">
      <c r="A37" s="51"/>
      <c r="B37" s="6" t="s">
        <v>120</v>
      </c>
      <c r="D37" t="s">
        <v>37</v>
      </c>
      <c r="E37" t="s">
        <v>38</v>
      </c>
      <c r="F37" t="s">
        <v>39</v>
      </c>
      <c r="G37" t="s">
        <v>40</v>
      </c>
      <c r="H37" t="s">
        <v>41</v>
      </c>
      <c r="I37" t="s">
        <v>42</v>
      </c>
      <c r="J37" t="s">
        <v>43</v>
      </c>
      <c r="K37" t="s">
        <v>44</v>
      </c>
      <c r="L37" t="s">
        <v>45</v>
      </c>
      <c r="M37" t="s">
        <v>46</v>
      </c>
      <c r="N37" t="s">
        <v>47</v>
      </c>
      <c r="O37" t="s">
        <v>48</v>
      </c>
      <c r="P37" t="s">
        <v>49</v>
      </c>
      <c r="Q37" t="s">
        <v>50</v>
      </c>
      <c r="R37" t="s">
        <v>51</v>
      </c>
      <c r="S37" t="s">
        <v>52</v>
      </c>
      <c r="T37" t="s">
        <v>53</v>
      </c>
      <c r="U37" t="s">
        <v>54</v>
      </c>
      <c r="V37" t="s">
        <v>55</v>
      </c>
      <c r="W37" t="s">
        <v>56</v>
      </c>
      <c r="X37" t="s">
        <v>57</v>
      </c>
      <c r="Y37" t="s">
        <v>58</v>
      </c>
      <c r="Z37" t="s">
        <v>59</v>
      </c>
      <c r="AA37" t="s">
        <v>60</v>
      </c>
      <c r="AB37" t="s">
        <v>61</v>
      </c>
      <c r="AC37" t="s">
        <v>62</v>
      </c>
      <c r="AD37" t="s">
        <v>63</v>
      </c>
      <c r="AE37" t="s">
        <v>35</v>
      </c>
    </row>
    <row r="38" spans="1:31" ht="15" thickBot="1" x14ac:dyDescent="0.4">
      <c r="A38" s="52"/>
      <c r="B38" s="5" t="s">
        <v>106</v>
      </c>
      <c r="C38" s="12" t="s">
        <v>64</v>
      </c>
      <c r="D38" t="s">
        <v>97</v>
      </c>
      <c r="E38" t="s">
        <v>98</v>
      </c>
      <c r="G38" t="s">
        <v>100</v>
      </c>
      <c r="AD38">
        <v>1</v>
      </c>
      <c r="AE38" t="s">
        <v>73</v>
      </c>
    </row>
    <row r="39" spans="1:31" x14ac:dyDescent="0.35">
      <c r="A39" s="45" t="s">
        <v>117</v>
      </c>
      <c r="B39" s="4" t="s">
        <v>105</v>
      </c>
      <c r="D39" t="s">
        <v>26</v>
      </c>
      <c r="E39" t="s">
        <v>74</v>
      </c>
      <c r="F39" t="s">
        <v>76</v>
      </c>
      <c r="G39" t="s">
        <v>29</v>
      </c>
      <c r="H39" t="s">
        <v>30</v>
      </c>
      <c r="I39" t="s">
        <v>81</v>
      </c>
    </row>
    <row r="40" spans="1:31" x14ac:dyDescent="0.35">
      <c r="A40" s="56"/>
      <c r="B40" s="6" t="s">
        <v>106</v>
      </c>
      <c r="C40" s="1" t="s">
        <v>101</v>
      </c>
      <c r="D40" t="s">
        <v>125</v>
      </c>
      <c r="F40">
        <v>3</v>
      </c>
      <c r="G40" s="2">
        <v>45295</v>
      </c>
      <c r="H40" t="s">
        <v>25</v>
      </c>
      <c r="I40" t="s">
        <v>84</v>
      </c>
    </row>
    <row r="41" spans="1:31" ht="15" thickBot="1" x14ac:dyDescent="0.4">
      <c r="A41" s="46"/>
      <c r="B41" s="5" t="s">
        <v>106</v>
      </c>
      <c r="C41" s="1" t="s">
        <v>101</v>
      </c>
      <c r="D41" t="s">
        <v>125</v>
      </c>
      <c r="E41" t="s">
        <v>138</v>
      </c>
      <c r="F41">
        <v>2</v>
      </c>
      <c r="G41" s="2">
        <v>45295</v>
      </c>
      <c r="H41" t="s">
        <v>25</v>
      </c>
    </row>
    <row r="42" spans="1:31" x14ac:dyDescent="0.35">
      <c r="C42" s="1" t="s">
        <v>141</v>
      </c>
    </row>
  </sheetData>
  <mergeCells count="11">
    <mergeCell ref="A16:A17"/>
    <mergeCell ref="A18:A20"/>
    <mergeCell ref="A21:A29"/>
    <mergeCell ref="A39:A41"/>
    <mergeCell ref="A30:A38"/>
    <mergeCell ref="A14:A15"/>
    <mergeCell ref="A2:A3"/>
    <mergeCell ref="A4:A5"/>
    <mergeCell ref="A6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Important Points</vt:lpstr>
      <vt:lpstr>Quantity</vt:lpstr>
      <vt:lpstr>Agreement field Values</vt:lpstr>
      <vt:lpstr>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Anjeneya Vara Prasad Bhallamudi</dc:creator>
  <cp:lastModifiedBy>rishi sharma</cp:lastModifiedBy>
  <dcterms:created xsi:type="dcterms:W3CDTF">2026-08-13T16:12:09Z</dcterms:created>
  <dcterms:modified xsi:type="dcterms:W3CDTF">2026-09-22T09:21:28Z</dcterms:modified>
</cp:coreProperties>
</file>